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ulação de Resultados" sheetId="3" r:id="rId1"/>
    <sheet name="Ordenação Crescente" sheetId="1" r:id="rId2"/>
    <sheet name="Ordenação Decrescente" sheetId="2" r:id="rId3"/>
  </sheets>
  <definedNames>
    <definedName name="_xlnm._FilterDatabase" localSheetId="1" hidden="1">'Ordenação Crescente'!$A$104:$I$104</definedName>
    <definedName name="_xlnm._FilterDatabase" localSheetId="2" hidden="1">'Ordenação Decrescente'!$A$1:$I$1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9" i="2" l="1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R208" i="2"/>
  <c r="Q208" i="2"/>
  <c r="E208" i="2"/>
  <c r="O106" i="2"/>
  <c r="R105" i="2"/>
  <c r="Q105" i="2"/>
  <c r="O105" i="2"/>
  <c r="O107" i="2" s="1"/>
  <c r="S105" i="2" s="1"/>
  <c r="T105" i="2" s="1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F106" i="2"/>
  <c r="F107" i="2"/>
  <c r="F108" i="2"/>
  <c r="F109" i="2"/>
  <c r="G105" i="2" s="1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105" i="2"/>
  <c r="F105" i="2"/>
  <c r="E13" i="2"/>
  <c r="F13" i="2"/>
  <c r="I13" i="2"/>
  <c r="E14" i="2"/>
  <c r="F14" i="2"/>
  <c r="I14" i="2"/>
  <c r="E15" i="2"/>
  <c r="F15" i="2"/>
  <c r="E16" i="2"/>
  <c r="F16" i="2" s="1"/>
  <c r="E17" i="2"/>
  <c r="I17" i="2" s="1"/>
  <c r="I7" i="2"/>
  <c r="I8" i="2"/>
  <c r="I9" i="2"/>
  <c r="I10" i="2"/>
  <c r="I24" i="2"/>
  <c r="I25" i="2"/>
  <c r="I26" i="2"/>
  <c r="I27" i="2"/>
  <c r="I36" i="2"/>
  <c r="I37" i="2"/>
  <c r="I38" i="2"/>
  <c r="I39" i="2"/>
  <c r="I48" i="2"/>
  <c r="I49" i="2"/>
  <c r="I50" i="2"/>
  <c r="I51" i="2"/>
  <c r="I60" i="2"/>
  <c r="I61" i="2"/>
  <c r="I62" i="2"/>
  <c r="I63" i="2"/>
  <c r="I72" i="2"/>
  <c r="I73" i="2"/>
  <c r="I74" i="2"/>
  <c r="I75" i="2"/>
  <c r="I84" i="2"/>
  <c r="I85" i="2"/>
  <c r="I86" i="2"/>
  <c r="I87" i="2"/>
  <c r="I96" i="2"/>
  <c r="I97" i="2"/>
  <c r="I98" i="2"/>
  <c r="I99" i="2"/>
  <c r="F3" i="2"/>
  <c r="F4" i="2"/>
  <c r="F7" i="2"/>
  <c r="F10" i="2"/>
  <c r="F12" i="2"/>
  <c r="F18" i="2"/>
  <c r="F19" i="2"/>
  <c r="F20" i="2"/>
  <c r="F21" i="2"/>
  <c r="F24" i="2"/>
  <c r="F27" i="2"/>
  <c r="F29" i="2"/>
  <c r="F30" i="2"/>
  <c r="F31" i="2"/>
  <c r="F32" i="2"/>
  <c r="F33" i="2"/>
  <c r="F36" i="2"/>
  <c r="F39" i="2"/>
  <c r="F41" i="2"/>
  <c r="F42" i="2"/>
  <c r="F43" i="2"/>
  <c r="F44" i="2"/>
  <c r="F45" i="2"/>
  <c r="F48" i="2"/>
  <c r="F51" i="2"/>
  <c r="F53" i="2"/>
  <c r="F54" i="2"/>
  <c r="F55" i="2"/>
  <c r="F56" i="2"/>
  <c r="F57" i="2"/>
  <c r="F60" i="2"/>
  <c r="F63" i="2"/>
  <c r="F65" i="2"/>
  <c r="F66" i="2"/>
  <c r="F67" i="2"/>
  <c r="F68" i="2"/>
  <c r="F69" i="2"/>
  <c r="F72" i="2"/>
  <c r="F75" i="2"/>
  <c r="F77" i="2"/>
  <c r="F78" i="2"/>
  <c r="F79" i="2"/>
  <c r="F80" i="2"/>
  <c r="F81" i="2"/>
  <c r="F84" i="2"/>
  <c r="F87" i="2"/>
  <c r="F89" i="2"/>
  <c r="F90" i="2"/>
  <c r="F91" i="2"/>
  <c r="F92" i="2"/>
  <c r="F93" i="2"/>
  <c r="F96" i="2"/>
  <c r="F99" i="2"/>
  <c r="F101" i="2"/>
  <c r="E3" i="2"/>
  <c r="I3" i="2" s="1"/>
  <c r="E4" i="2"/>
  <c r="I4" i="2" s="1"/>
  <c r="E5" i="2"/>
  <c r="F5" i="2" s="1"/>
  <c r="E6" i="2"/>
  <c r="F6" i="2" s="1"/>
  <c r="E7" i="2"/>
  <c r="E8" i="2"/>
  <c r="F8" i="2" s="1"/>
  <c r="E9" i="2"/>
  <c r="F9" i="2" s="1"/>
  <c r="E10" i="2"/>
  <c r="E11" i="2"/>
  <c r="I11" i="2" s="1"/>
  <c r="E12" i="2"/>
  <c r="I12" i="2" s="1"/>
  <c r="E18" i="2"/>
  <c r="I18" i="2" s="1"/>
  <c r="E19" i="2"/>
  <c r="I19" i="2" s="1"/>
  <c r="E20" i="2"/>
  <c r="I20" i="2" s="1"/>
  <c r="E21" i="2"/>
  <c r="I21" i="2" s="1"/>
  <c r="E22" i="2"/>
  <c r="F22" i="2" s="1"/>
  <c r="E23" i="2"/>
  <c r="F23" i="2" s="1"/>
  <c r="E24" i="2"/>
  <c r="E25" i="2"/>
  <c r="F25" i="2" s="1"/>
  <c r="E26" i="2"/>
  <c r="F26" i="2" s="1"/>
  <c r="E27" i="2"/>
  <c r="E28" i="2"/>
  <c r="I28" i="2" s="1"/>
  <c r="E29" i="2"/>
  <c r="I29" i="2" s="1"/>
  <c r="E30" i="2"/>
  <c r="I30" i="2" s="1"/>
  <c r="E31" i="2"/>
  <c r="I31" i="2" s="1"/>
  <c r="E32" i="2"/>
  <c r="I32" i="2" s="1"/>
  <c r="E33" i="2"/>
  <c r="I33" i="2" s="1"/>
  <c r="E34" i="2"/>
  <c r="F34" i="2" s="1"/>
  <c r="E35" i="2"/>
  <c r="F35" i="2" s="1"/>
  <c r="E36" i="2"/>
  <c r="E37" i="2"/>
  <c r="F37" i="2" s="1"/>
  <c r="E38" i="2"/>
  <c r="F38" i="2" s="1"/>
  <c r="E39" i="2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F46" i="2" s="1"/>
  <c r="E47" i="2"/>
  <c r="F47" i="2" s="1"/>
  <c r="E48" i="2"/>
  <c r="E49" i="2"/>
  <c r="F49" i="2" s="1"/>
  <c r="E50" i="2"/>
  <c r="F50" i="2" s="1"/>
  <c r="E51" i="2"/>
  <c r="E52" i="2"/>
  <c r="I52" i="2" s="1"/>
  <c r="E53" i="2"/>
  <c r="I53" i="2" s="1"/>
  <c r="E54" i="2"/>
  <c r="I54" i="2" s="1"/>
  <c r="E55" i="2"/>
  <c r="I55" i="2" s="1"/>
  <c r="E56" i="2"/>
  <c r="I56" i="2" s="1"/>
  <c r="E57" i="2"/>
  <c r="I57" i="2" s="1"/>
  <c r="E58" i="2"/>
  <c r="F58" i="2" s="1"/>
  <c r="E59" i="2"/>
  <c r="F59" i="2" s="1"/>
  <c r="E60" i="2"/>
  <c r="E61" i="2"/>
  <c r="F61" i="2" s="1"/>
  <c r="E62" i="2"/>
  <c r="F62" i="2" s="1"/>
  <c r="E63" i="2"/>
  <c r="E64" i="2"/>
  <c r="I64" i="2" s="1"/>
  <c r="E65" i="2"/>
  <c r="I65" i="2" s="1"/>
  <c r="E66" i="2"/>
  <c r="I66" i="2" s="1"/>
  <c r="E67" i="2"/>
  <c r="I67" i="2" s="1"/>
  <c r="E68" i="2"/>
  <c r="I68" i="2" s="1"/>
  <c r="E69" i="2"/>
  <c r="I69" i="2" s="1"/>
  <c r="E70" i="2"/>
  <c r="F70" i="2" s="1"/>
  <c r="E71" i="2"/>
  <c r="F71" i="2" s="1"/>
  <c r="E72" i="2"/>
  <c r="E73" i="2"/>
  <c r="F73" i="2" s="1"/>
  <c r="E74" i="2"/>
  <c r="F74" i="2" s="1"/>
  <c r="E75" i="2"/>
  <c r="E76" i="2"/>
  <c r="I76" i="2" s="1"/>
  <c r="E77" i="2"/>
  <c r="I77" i="2" s="1"/>
  <c r="E78" i="2"/>
  <c r="I78" i="2" s="1"/>
  <c r="E79" i="2"/>
  <c r="I79" i="2" s="1"/>
  <c r="E80" i="2"/>
  <c r="I80" i="2" s="1"/>
  <c r="E81" i="2"/>
  <c r="I81" i="2" s="1"/>
  <c r="E82" i="2"/>
  <c r="F82" i="2" s="1"/>
  <c r="E83" i="2"/>
  <c r="F83" i="2" s="1"/>
  <c r="E84" i="2"/>
  <c r="E85" i="2"/>
  <c r="F85" i="2" s="1"/>
  <c r="E86" i="2"/>
  <c r="F86" i="2" s="1"/>
  <c r="E87" i="2"/>
  <c r="E88" i="2"/>
  <c r="I88" i="2" s="1"/>
  <c r="E89" i="2"/>
  <c r="I89" i="2" s="1"/>
  <c r="E90" i="2"/>
  <c r="I90" i="2" s="1"/>
  <c r="E91" i="2"/>
  <c r="I91" i="2" s="1"/>
  <c r="E92" i="2"/>
  <c r="I92" i="2" s="1"/>
  <c r="E93" i="2"/>
  <c r="I93" i="2" s="1"/>
  <c r="E94" i="2"/>
  <c r="F94" i="2" s="1"/>
  <c r="E95" i="2"/>
  <c r="F95" i="2" s="1"/>
  <c r="E96" i="2"/>
  <c r="E97" i="2"/>
  <c r="F97" i="2" s="1"/>
  <c r="E98" i="2"/>
  <c r="F98" i="2" s="1"/>
  <c r="E99" i="2"/>
  <c r="E100" i="2"/>
  <c r="I100" i="2" s="1"/>
  <c r="E101" i="2"/>
  <c r="I101" i="2" s="1"/>
  <c r="E2" i="2"/>
  <c r="I2" i="2" s="1"/>
  <c r="O210" i="1"/>
  <c r="R209" i="1"/>
  <c r="Q209" i="1"/>
  <c r="O209" i="1"/>
  <c r="O211" i="1" s="1"/>
  <c r="S209" i="1" s="1"/>
  <c r="T209" i="1" s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F210" i="1"/>
  <c r="F211" i="1"/>
  <c r="F212" i="1"/>
  <c r="F213" i="1"/>
  <c r="F214" i="1"/>
  <c r="F215" i="1"/>
  <c r="F216" i="1"/>
  <c r="F217" i="1"/>
  <c r="F218" i="1"/>
  <c r="G209" i="1" s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209" i="1"/>
  <c r="T105" i="1"/>
  <c r="O106" i="1"/>
  <c r="R105" i="1"/>
  <c r="Q105" i="1"/>
  <c r="O105" i="1"/>
  <c r="O107" i="1" s="1"/>
  <c r="S105" i="1" s="1"/>
  <c r="I140" i="1"/>
  <c r="E204" i="1"/>
  <c r="I204" i="1" s="1"/>
  <c r="F204" i="1"/>
  <c r="E129" i="1"/>
  <c r="F129" i="1" s="1"/>
  <c r="E135" i="1"/>
  <c r="I135" i="1" s="1"/>
  <c r="E194" i="1"/>
  <c r="I194" i="1" s="1"/>
  <c r="E200" i="1"/>
  <c r="I200" i="1" s="1"/>
  <c r="E179" i="1"/>
  <c r="I179" i="1" s="1"/>
  <c r="F179" i="1"/>
  <c r="E197" i="1"/>
  <c r="I197" i="1" s="1"/>
  <c r="F197" i="1"/>
  <c r="E161" i="1"/>
  <c r="F161" i="1" s="1"/>
  <c r="E165" i="1"/>
  <c r="I165" i="1" s="1"/>
  <c r="F165" i="1"/>
  <c r="E187" i="1"/>
  <c r="I187" i="1" s="1"/>
  <c r="E181" i="1"/>
  <c r="I181" i="1" s="1"/>
  <c r="F181" i="1"/>
  <c r="E203" i="1"/>
  <c r="I203" i="1" s="1"/>
  <c r="E180" i="1"/>
  <c r="I180" i="1" s="1"/>
  <c r="F180" i="1"/>
  <c r="E169" i="1"/>
  <c r="F169" i="1" s="1"/>
  <c r="E176" i="1"/>
  <c r="I176" i="1" s="1"/>
  <c r="F176" i="1"/>
  <c r="E188" i="1"/>
  <c r="I188" i="1" s="1"/>
  <c r="E163" i="1"/>
  <c r="I163" i="1" s="1"/>
  <c r="E201" i="1"/>
  <c r="I201" i="1" s="1"/>
  <c r="E199" i="1"/>
  <c r="I199" i="1" s="1"/>
  <c r="F199" i="1"/>
  <c r="E196" i="1"/>
  <c r="F196" i="1" s="1"/>
  <c r="E184" i="1"/>
  <c r="F184" i="1" s="1"/>
  <c r="E172" i="1"/>
  <c r="I172" i="1" s="1"/>
  <c r="E154" i="1"/>
  <c r="I154" i="1" s="1"/>
  <c r="F154" i="1"/>
  <c r="E193" i="1"/>
  <c r="F193" i="1" s="1"/>
  <c r="E202" i="1"/>
  <c r="I202" i="1" s="1"/>
  <c r="F202" i="1"/>
  <c r="E198" i="1"/>
  <c r="F198" i="1" s="1"/>
  <c r="E183" i="1"/>
  <c r="I183" i="1" s="1"/>
  <c r="F183" i="1"/>
  <c r="E167" i="1"/>
  <c r="I167" i="1" s="1"/>
  <c r="E147" i="1"/>
  <c r="I147" i="1" s="1"/>
  <c r="F147" i="1"/>
  <c r="E190" i="1"/>
  <c r="I190" i="1" s="1"/>
  <c r="E178" i="1"/>
  <c r="I178" i="1" s="1"/>
  <c r="E191" i="1"/>
  <c r="F191" i="1" s="1"/>
  <c r="E170" i="1"/>
  <c r="I170" i="1" s="1"/>
  <c r="F170" i="1"/>
  <c r="E185" i="1"/>
  <c r="I185" i="1" s="1"/>
  <c r="E171" i="1"/>
  <c r="I171" i="1" s="1"/>
  <c r="F171" i="1"/>
  <c r="E116" i="1"/>
  <c r="F116" i="1" s="1"/>
  <c r="E150" i="1"/>
  <c r="I150" i="1" s="1"/>
  <c r="F150" i="1"/>
  <c r="E143" i="1"/>
  <c r="I143" i="1" s="1"/>
  <c r="E139" i="1"/>
  <c r="I139" i="1" s="1"/>
  <c r="F139" i="1"/>
  <c r="E134" i="1"/>
  <c r="I134" i="1" s="1"/>
  <c r="E142" i="1"/>
  <c r="I142" i="1" s="1"/>
  <c r="E138" i="1"/>
  <c r="I138" i="1" s="1"/>
  <c r="E136" i="1"/>
  <c r="I136" i="1" s="1"/>
  <c r="F136" i="1"/>
  <c r="E137" i="1"/>
  <c r="I137" i="1" s="1"/>
  <c r="F137" i="1"/>
  <c r="E149" i="1"/>
  <c r="I149" i="1" s="1"/>
  <c r="E144" i="1"/>
  <c r="I144" i="1" s="1"/>
  <c r="E146" i="1"/>
  <c r="I146" i="1" s="1"/>
  <c r="F146" i="1"/>
  <c r="E141" i="1"/>
  <c r="I141" i="1" s="1"/>
  <c r="E174" i="1"/>
  <c r="I174" i="1" s="1"/>
  <c r="E106" i="1"/>
  <c r="I106" i="1" s="1"/>
  <c r="F106" i="1"/>
  <c r="E182" i="1"/>
  <c r="I182" i="1" s="1"/>
  <c r="F182" i="1"/>
  <c r="E148" i="1"/>
  <c r="I148" i="1" s="1"/>
  <c r="E124" i="1"/>
  <c r="I124" i="1" s="1"/>
  <c r="F124" i="1"/>
  <c r="E164" i="1"/>
  <c r="I164" i="1" s="1"/>
  <c r="F164" i="1"/>
  <c r="E168" i="1"/>
  <c r="I168" i="1" s="1"/>
  <c r="E156" i="1"/>
  <c r="F156" i="1"/>
  <c r="E153" i="1"/>
  <c r="I153" i="1" s="1"/>
  <c r="F153" i="1"/>
  <c r="E166" i="1"/>
  <c r="I166" i="1" s="1"/>
  <c r="E132" i="1"/>
  <c r="I132" i="1" s="1"/>
  <c r="E160" i="1"/>
  <c r="I160" i="1" s="1"/>
  <c r="F160" i="1"/>
  <c r="E128" i="1"/>
  <c r="I128" i="1" s="1"/>
  <c r="F128" i="1"/>
  <c r="E112" i="1"/>
  <c r="I112" i="1" s="1"/>
  <c r="E140" i="1"/>
  <c r="F140" i="1"/>
  <c r="E125" i="1"/>
  <c r="I125" i="1" s="1"/>
  <c r="E110" i="1"/>
  <c r="I110" i="1" s="1"/>
  <c r="E113" i="1"/>
  <c r="I113" i="1" s="1"/>
  <c r="F113" i="1"/>
  <c r="E118" i="1"/>
  <c r="I118" i="1" s="1"/>
  <c r="F118" i="1"/>
  <c r="E151" i="1"/>
  <c r="I151" i="1" s="1"/>
  <c r="F151" i="1"/>
  <c r="E126" i="1"/>
  <c r="F126" i="1" s="1"/>
  <c r="E108" i="1"/>
  <c r="I108" i="1" s="1"/>
  <c r="E158" i="1"/>
  <c r="I158" i="1" s="1"/>
  <c r="F158" i="1"/>
  <c r="E122" i="1"/>
  <c r="I122" i="1" s="1"/>
  <c r="F122" i="1"/>
  <c r="E121" i="1"/>
  <c r="I121" i="1" s="1"/>
  <c r="E119" i="1"/>
  <c r="I119" i="1" s="1"/>
  <c r="F119" i="1"/>
  <c r="E175" i="1"/>
  <c r="F175" i="1" s="1"/>
  <c r="E186" i="1"/>
  <c r="I186" i="1" s="1"/>
  <c r="E133" i="1"/>
  <c r="I133" i="1" s="1"/>
  <c r="E157" i="1"/>
  <c r="I157" i="1" s="1"/>
  <c r="E192" i="1"/>
  <c r="I192" i="1" s="1"/>
  <c r="F192" i="1"/>
  <c r="E145" i="1"/>
  <c r="I145" i="1" s="1"/>
  <c r="F145" i="1"/>
  <c r="E159" i="1"/>
  <c r="I159" i="1" s="1"/>
  <c r="F159" i="1"/>
  <c r="E162" i="1"/>
  <c r="I162" i="1" s="1"/>
  <c r="E115" i="1"/>
  <c r="I115" i="1" s="1"/>
  <c r="F115" i="1"/>
  <c r="E131" i="1"/>
  <c r="I131" i="1" s="1"/>
  <c r="E177" i="1"/>
  <c r="I177" i="1" s="1"/>
  <c r="F177" i="1"/>
  <c r="E152" i="1"/>
  <c r="I152" i="1" s="1"/>
  <c r="F152" i="1"/>
  <c r="E120" i="1"/>
  <c r="I120" i="1" s="1"/>
  <c r="E189" i="1"/>
  <c r="I189" i="1" s="1"/>
  <c r="E127" i="1"/>
  <c r="I127" i="1" s="1"/>
  <c r="F127" i="1"/>
  <c r="E109" i="1"/>
  <c r="I109" i="1" s="1"/>
  <c r="E107" i="1"/>
  <c r="I107" i="1" s="1"/>
  <c r="E111" i="1"/>
  <c r="F111" i="1"/>
  <c r="E130" i="1"/>
  <c r="I130" i="1" s="1"/>
  <c r="F130" i="1"/>
  <c r="E105" i="1"/>
  <c r="I105" i="1" s="1"/>
  <c r="E114" i="1"/>
  <c r="F114" i="1" s="1"/>
  <c r="E173" i="1"/>
  <c r="I173" i="1" s="1"/>
  <c r="F173" i="1"/>
  <c r="E155" i="1"/>
  <c r="I155" i="1" s="1"/>
  <c r="F155" i="1"/>
  <c r="E117" i="1"/>
  <c r="I117" i="1" s="1"/>
  <c r="E123" i="1"/>
  <c r="I123" i="1" s="1"/>
  <c r="F123" i="1"/>
  <c r="E195" i="1"/>
  <c r="I195" i="1" s="1"/>
  <c r="R2" i="2"/>
  <c r="Q2" i="2"/>
  <c r="R2" i="1"/>
  <c r="Q2" i="1"/>
  <c r="H4" i="1"/>
  <c r="H5" i="1"/>
  <c r="H12" i="1"/>
  <c r="H16" i="1"/>
  <c r="H17" i="1"/>
  <c r="H24" i="1"/>
  <c r="H26" i="1"/>
  <c r="H27" i="1"/>
  <c r="H28" i="1"/>
  <c r="H29" i="1"/>
  <c r="H36" i="1"/>
  <c r="H37" i="1"/>
  <c r="H40" i="1"/>
  <c r="H41" i="1"/>
  <c r="H51" i="1"/>
  <c r="H52" i="1"/>
  <c r="H53" i="1"/>
  <c r="H60" i="1"/>
  <c r="H61" i="1"/>
  <c r="H62" i="1"/>
  <c r="H63" i="1"/>
  <c r="H64" i="1"/>
  <c r="H65" i="1"/>
  <c r="H72" i="1"/>
  <c r="H74" i="1"/>
  <c r="H76" i="1"/>
  <c r="H77" i="1"/>
  <c r="H84" i="1"/>
  <c r="H87" i="1"/>
  <c r="H88" i="1"/>
  <c r="H98" i="1"/>
  <c r="H99" i="1"/>
  <c r="H100" i="1"/>
  <c r="H101" i="1"/>
  <c r="F67" i="1"/>
  <c r="F54" i="1"/>
  <c r="F66" i="1"/>
  <c r="F84" i="1"/>
  <c r="F42" i="1"/>
  <c r="F41" i="1"/>
  <c r="F24" i="1"/>
  <c r="F60" i="1"/>
  <c r="F71" i="1"/>
  <c r="F35" i="1"/>
  <c r="F43" i="1"/>
  <c r="F6" i="1"/>
  <c r="F20" i="1"/>
  <c r="F9" i="1"/>
  <c r="F4" i="1"/>
  <c r="E73" i="1"/>
  <c r="F73" i="1" s="1"/>
  <c r="E44" i="1"/>
  <c r="F44" i="1" s="1"/>
  <c r="E80" i="1"/>
  <c r="F80" i="1" s="1"/>
  <c r="E59" i="1"/>
  <c r="F59" i="1" s="1"/>
  <c r="E98" i="1"/>
  <c r="F98" i="1" s="1"/>
  <c r="E100" i="1"/>
  <c r="F100" i="1" s="1"/>
  <c r="E78" i="1"/>
  <c r="H78" i="1" s="1"/>
  <c r="E101" i="1"/>
  <c r="F101" i="1" s="1"/>
  <c r="E99" i="1"/>
  <c r="F99" i="1" s="1"/>
  <c r="E93" i="1"/>
  <c r="F93" i="1" s="1"/>
  <c r="E88" i="1"/>
  <c r="F88" i="1" s="1"/>
  <c r="E63" i="1"/>
  <c r="F63" i="1" s="1"/>
  <c r="E92" i="1"/>
  <c r="F92" i="1" s="1"/>
  <c r="E75" i="1"/>
  <c r="F75" i="1" s="1"/>
  <c r="E86" i="1"/>
  <c r="F86" i="1" s="1"/>
  <c r="E81" i="1"/>
  <c r="F81" i="1" s="1"/>
  <c r="E76" i="1"/>
  <c r="F76" i="1" s="1"/>
  <c r="E67" i="1"/>
  <c r="H67" i="1" s="1"/>
  <c r="E54" i="1"/>
  <c r="H54" i="1" s="1"/>
  <c r="E66" i="1"/>
  <c r="H66" i="1" s="1"/>
  <c r="E64" i="1"/>
  <c r="F64" i="1" s="1"/>
  <c r="E87" i="1"/>
  <c r="F87" i="1" s="1"/>
  <c r="E77" i="1"/>
  <c r="F77" i="1" s="1"/>
  <c r="E83" i="1"/>
  <c r="F83" i="1" s="1"/>
  <c r="E90" i="1"/>
  <c r="F90" i="1" s="1"/>
  <c r="E85" i="1"/>
  <c r="F85" i="1" s="1"/>
  <c r="E89" i="1"/>
  <c r="F89" i="1" s="1"/>
  <c r="E72" i="1"/>
  <c r="F72" i="1" s="1"/>
  <c r="E84" i="1"/>
  <c r="E42" i="1"/>
  <c r="H42" i="1" s="1"/>
  <c r="E41" i="1"/>
  <c r="E82" i="1"/>
  <c r="E70" i="1"/>
  <c r="F70" i="1" s="1"/>
  <c r="E79" i="1"/>
  <c r="F79" i="1" s="1"/>
  <c r="E23" i="1"/>
  <c r="F23" i="1" s="1"/>
  <c r="E49" i="1"/>
  <c r="F49" i="1" s="1"/>
  <c r="E21" i="1"/>
  <c r="F21" i="1" s="1"/>
  <c r="E39" i="1"/>
  <c r="F39" i="1" s="1"/>
  <c r="E68" i="1"/>
  <c r="F68" i="1" s="1"/>
  <c r="E65" i="1"/>
  <c r="F65" i="1" s="1"/>
  <c r="E74" i="1"/>
  <c r="F74" i="1" s="1"/>
  <c r="E62" i="1"/>
  <c r="F62" i="1" s="1"/>
  <c r="E61" i="1"/>
  <c r="E53" i="1"/>
  <c r="F53" i="1" s="1"/>
  <c r="E31" i="1"/>
  <c r="F31" i="1" s="1"/>
  <c r="E38" i="1"/>
  <c r="F38" i="1" s="1"/>
  <c r="E13" i="1"/>
  <c r="F13" i="1" s="1"/>
  <c r="E28" i="1"/>
  <c r="F28" i="1" s="1"/>
  <c r="E40" i="1"/>
  <c r="F40" i="1" s="1"/>
  <c r="E25" i="1"/>
  <c r="F25" i="1" s="1"/>
  <c r="E11" i="1"/>
  <c r="F11" i="1" s="1"/>
  <c r="E7" i="1"/>
  <c r="F7" i="1" s="1"/>
  <c r="E5" i="1"/>
  <c r="F5" i="1" s="1"/>
  <c r="E24" i="1"/>
  <c r="E60" i="1"/>
  <c r="E71" i="1"/>
  <c r="E95" i="1"/>
  <c r="F95" i="1" s="1"/>
  <c r="E51" i="1"/>
  <c r="F51" i="1" s="1"/>
  <c r="E17" i="1"/>
  <c r="F17" i="1" s="1"/>
  <c r="E22" i="1"/>
  <c r="F22" i="1" s="1"/>
  <c r="E45" i="1"/>
  <c r="F45" i="1" s="1"/>
  <c r="E46" i="1"/>
  <c r="F46" i="1" s="1"/>
  <c r="E69" i="1"/>
  <c r="F69" i="1" s="1"/>
  <c r="E57" i="1"/>
  <c r="F57" i="1" s="1"/>
  <c r="E35" i="1"/>
  <c r="E43" i="1"/>
  <c r="H43" i="1" s="1"/>
  <c r="E6" i="1"/>
  <c r="H6" i="1" s="1"/>
  <c r="E8" i="1"/>
  <c r="F8" i="1" s="1"/>
  <c r="E52" i="1"/>
  <c r="F52" i="1" s="1"/>
  <c r="E58" i="1"/>
  <c r="F58" i="1" s="1"/>
  <c r="E50" i="1"/>
  <c r="F50" i="1" s="1"/>
  <c r="E32" i="1"/>
  <c r="F32" i="1" s="1"/>
  <c r="E94" i="1"/>
  <c r="F94" i="1" s="1"/>
  <c r="E56" i="1"/>
  <c r="F56" i="1" s="1"/>
  <c r="E3" i="1"/>
  <c r="F3" i="1" s="1"/>
  <c r="E10" i="1"/>
  <c r="F10" i="1" s="1"/>
  <c r="E26" i="1"/>
  <c r="F26" i="1" s="1"/>
  <c r="E12" i="1"/>
  <c r="E18" i="1"/>
  <c r="H18" i="1" s="1"/>
  <c r="E16" i="1"/>
  <c r="F16" i="1" s="1"/>
  <c r="E34" i="1"/>
  <c r="F34" i="1" s="1"/>
  <c r="E19" i="1"/>
  <c r="F19" i="1" s="1"/>
  <c r="E27" i="1"/>
  <c r="F27" i="1" s="1"/>
  <c r="E91" i="1"/>
  <c r="F91" i="1" s="1"/>
  <c r="E15" i="1"/>
  <c r="F15" i="1" s="1"/>
  <c r="E48" i="1"/>
  <c r="F48" i="1" s="1"/>
  <c r="E14" i="1"/>
  <c r="F14" i="1" s="1"/>
  <c r="E29" i="1"/>
  <c r="F29" i="1" s="1"/>
  <c r="E36" i="1"/>
  <c r="E20" i="1"/>
  <c r="H20" i="1" s="1"/>
  <c r="E9" i="1"/>
  <c r="H9" i="1" s="1"/>
  <c r="E4" i="1"/>
  <c r="E37" i="1"/>
  <c r="F37" i="1" s="1"/>
  <c r="E55" i="1"/>
  <c r="F55" i="1" s="1"/>
  <c r="E96" i="1"/>
  <c r="F96" i="1" s="1"/>
  <c r="E47" i="1"/>
  <c r="F47" i="1" s="1"/>
  <c r="E33" i="1"/>
  <c r="F33" i="1" s="1"/>
  <c r="E30" i="1"/>
  <c r="F30" i="1" s="1"/>
  <c r="E2" i="1"/>
  <c r="F2" i="1" s="1"/>
  <c r="E97" i="1"/>
  <c r="F97" i="1" s="1"/>
  <c r="F208" i="2" l="1"/>
  <c r="I208" i="2" s="1"/>
  <c r="O209" i="2" s="1"/>
  <c r="H208" i="2"/>
  <c r="O208" i="2" s="1"/>
  <c r="I95" i="2"/>
  <c r="I83" i="2"/>
  <c r="I71" i="2"/>
  <c r="I59" i="2"/>
  <c r="I47" i="2"/>
  <c r="I35" i="2"/>
  <c r="I23" i="2"/>
  <c r="I6" i="2"/>
  <c r="F2" i="2"/>
  <c r="G97" i="2" s="1"/>
  <c r="H97" i="2" s="1"/>
  <c r="F100" i="2"/>
  <c r="F88" i="2"/>
  <c r="F76" i="2"/>
  <c r="F64" i="2"/>
  <c r="F52" i="2"/>
  <c r="G49" i="2" s="1"/>
  <c r="H49" i="2" s="1"/>
  <c r="F40" i="2"/>
  <c r="F28" i="2"/>
  <c r="G28" i="2" s="1"/>
  <c r="H28" i="2" s="1"/>
  <c r="F11" i="2"/>
  <c r="G11" i="2" s="1"/>
  <c r="H11" i="2" s="1"/>
  <c r="I94" i="2"/>
  <c r="I82" i="2"/>
  <c r="I70" i="2"/>
  <c r="I58" i="2"/>
  <c r="I46" i="2"/>
  <c r="I34" i="2"/>
  <c r="I22" i="2"/>
  <c r="I5" i="2"/>
  <c r="G15" i="2"/>
  <c r="H15" i="2" s="1"/>
  <c r="F17" i="2"/>
  <c r="I16" i="2"/>
  <c r="G7" i="2"/>
  <c r="H7" i="2" s="1"/>
  <c r="G81" i="2"/>
  <c r="H81" i="2" s="1"/>
  <c r="G56" i="2"/>
  <c r="H56" i="2" s="1"/>
  <c r="G19" i="2"/>
  <c r="H19" i="2" s="1"/>
  <c r="G89" i="2"/>
  <c r="H89" i="2" s="1"/>
  <c r="G40" i="2"/>
  <c r="H40" i="2" s="1"/>
  <c r="I15" i="2"/>
  <c r="G27" i="2"/>
  <c r="H27" i="2" s="1"/>
  <c r="F209" i="1"/>
  <c r="I209" i="1" s="1"/>
  <c r="H209" i="1"/>
  <c r="H86" i="1"/>
  <c r="H50" i="1"/>
  <c r="H38" i="1"/>
  <c r="H14" i="1"/>
  <c r="H89" i="1"/>
  <c r="H97" i="1"/>
  <c r="H85" i="1"/>
  <c r="H73" i="1"/>
  <c r="H49" i="1"/>
  <c r="H25" i="1"/>
  <c r="H13" i="1"/>
  <c r="F120" i="1"/>
  <c r="F121" i="1"/>
  <c r="F132" i="1"/>
  <c r="F143" i="1"/>
  <c r="F190" i="1"/>
  <c r="I126" i="1"/>
  <c r="H48" i="1"/>
  <c r="F36" i="1"/>
  <c r="H95" i="1"/>
  <c r="H83" i="1"/>
  <c r="H71" i="1"/>
  <c r="H59" i="1"/>
  <c r="H47" i="1"/>
  <c r="H35" i="1"/>
  <c r="H23" i="1"/>
  <c r="H11" i="1"/>
  <c r="H39" i="1"/>
  <c r="H3" i="1"/>
  <c r="H94" i="1"/>
  <c r="H82" i="1"/>
  <c r="H70" i="1"/>
  <c r="H58" i="1"/>
  <c r="H46" i="1"/>
  <c r="H34" i="1"/>
  <c r="H22" i="1"/>
  <c r="H10" i="1"/>
  <c r="F203" i="1"/>
  <c r="F200" i="1"/>
  <c r="H15" i="1"/>
  <c r="H96" i="1"/>
  <c r="F18" i="1"/>
  <c r="G64" i="1" s="1"/>
  <c r="I64" i="1" s="1"/>
  <c r="F61" i="1"/>
  <c r="F78" i="1"/>
  <c r="H93" i="1"/>
  <c r="H81" i="1"/>
  <c r="H69" i="1"/>
  <c r="H57" i="1"/>
  <c r="H45" i="1"/>
  <c r="H33" i="1"/>
  <c r="H21" i="1"/>
  <c r="H75" i="1"/>
  <c r="F12" i="1"/>
  <c r="G32" i="1" s="1"/>
  <c r="I32" i="1" s="1"/>
  <c r="H92" i="1"/>
  <c r="H80" i="1"/>
  <c r="H68" i="1"/>
  <c r="H56" i="1"/>
  <c r="H44" i="1"/>
  <c r="H32" i="1"/>
  <c r="H8" i="1"/>
  <c r="F138" i="1"/>
  <c r="I116" i="1"/>
  <c r="H91" i="1"/>
  <c r="H79" i="1"/>
  <c r="H55" i="1"/>
  <c r="H31" i="1"/>
  <c r="H19" i="1"/>
  <c r="H7" i="1"/>
  <c r="F117" i="1"/>
  <c r="F131" i="1"/>
  <c r="F133" i="1"/>
  <c r="F201" i="1"/>
  <c r="F135" i="1"/>
  <c r="F82" i="1"/>
  <c r="G82" i="1" s="1"/>
  <c r="I82" i="1" s="1"/>
  <c r="H2" i="1"/>
  <c r="H90" i="1"/>
  <c r="H30" i="1"/>
  <c r="F109" i="1"/>
  <c r="F168" i="1"/>
  <c r="F141" i="1"/>
  <c r="F142" i="1"/>
  <c r="I114" i="1"/>
  <c r="F195" i="1"/>
  <c r="I193" i="1"/>
  <c r="F107" i="1"/>
  <c r="F157" i="1"/>
  <c r="F110" i="1"/>
  <c r="F149" i="1"/>
  <c r="F178" i="1"/>
  <c r="F163" i="1"/>
  <c r="I184" i="1"/>
  <c r="I175" i="1"/>
  <c r="F112" i="1"/>
  <c r="F174" i="1"/>
  <c r="I111" i="1"/>
  <c r="I156" i="1"/>
  <c r="I191" i="1"/>
  <c r="I196" i="1"/>
  <c r="I161" i="1"/>
  <c r="F185" i="1"/>
  <c r="F167" i="1"/>
  <c r="F172" i="1"/>
  <c r="F188" i="1"/>
  <c r="F187" i="1"/>
  <c r="F194" i="1"/>
  <c r="F105" i="1"/>
  <c r="F189" i="1"/>
  <c r="F162" i="1"/>
  <c r="F186" i="1"/>
  <c r="F108" i="1"/>
  <c r="F125" i="1"/>
  <c r="F166" i="1"/>
  <c r="F148" i="1"/>
  <c r="F144" i="1"/>
  <c r="F134" i="1"/>
  <c r="I198" i="1"/>
  <c r="I169" i="1"/>
  <c r="I129" i="1"/>
  <c r="G8" i="1"/>
  <c r="I8" i="1" s="1"/>
  <c r="G86" i="1"/>
  <c r="I86" i="1" s="1"/>
  <c r="G33" i="1"/>
  <c r="I33" i="1" s="1"/>
  <c r="G83" i="1"/>
  <c r="I83" i="1" s="1"/>
  <c r="G93" i="1"/>
  <c r="I93" i="1" s="1"/>
  <c r="G31" i="1"/>
  <c r="I31" i="1" s="1"/>
  <c r="G70" i="1"/>
  <c r="I70" i="1" s="1"/>
  <c r="G99" i="1"/>
  <c r="I99" i="1" s="1"/>
  <c r="O210" i="2" l="1"/>
  <c r="S208" i="2" s="1"/>
  <c r="T208" i="2" s="1"/>
  <c r="G39" i="2"/>
  <c r="H39" i="2" s="1"/>
  <c r="G68" i="2"/>
  <c r="H68" i="2" s="1"/>
  <c r="G93" i="2"/>
  <c r="H93" i="2" s="1"/>
  <c r="G24" i="2"/>
  <c r="H24" i="2" s="1"/>
  <c r="G64" i="2"/>
  <c r="H64" i="2" s="1"/>
  <c r="G71" i="2"/>
  <c r="H71" i="2" s="1"/>
  <c r="G36" i="2"/>
  <c r="H36" i="2" s="1"/>
  <c r="G38" i="2"/>
  <c r="H38" i="2" s="1"/>
  <c r="G5" i="2"/>
  <c r="H5" i="2" s="1"/>
  <c r="G48" i="2"/>
  <c r="H48" i="2" s="1"/>
  <c r="G43" i="2"/>
  <c r="H43" i="2" s="1"/>
  <c r="G88" i="2"/>
  <c r="H88" i="2" s="1"/>
  <c r="G23" i="2"/>
  <c r="H23" i="2" s="1"/>
  <c r="G22" i="2"/>
  <c r="H22" i="2" s="1"/>
  <c r="G60" i="2"/>
  <c r="H60" i="2" s="1"/>
  <c r="G61" i="2"/>
  <c r="H61" i="2" s="1"/>
  <c r="G101" i="2"/>
  <c r="H101" i="2" s="1"/>
  <c r="G63" i="2"/>
  <c r="H63" i="2" s="1"/>
  <c r="G30" i="2"/>
  <c r="H30" i="2" s="1"/>
  <c r="G79" i="2"/>
  <c r="H79" i="2" s="1"/>
  <c r="G14" i="2"/>
  <c r="H14" i="2" s="1"/>
  <c r="G34" i="2"/>
  <c r="H34" i="2" s="1"/>
  <c r="G72" i="2"/>
  <c r="H72" i="2" s="1"/>
  <c r="G25" i="2"/>
  <c r="H25" i="2" s="1"/>
  <c r="G51" i="2"/>
  <c r="H51" i="2" s="1"/>
  <c r="G92" i="2"/>
  <c r="H92" i="2" s="1"/>
  <c r="G100" i="2"/>
  <c r="H100" i="2" s="1"/>
  <c r="G99" i="2"/>
  <c r="H99" i="2" s="1"/>
  <c r="G12" i="2"/>
  <c r="H12" i="2" s="1"/>
  <c r="G54" i="2"/>
  <c r="H54" i="2" s="1"/>
  <c r="G91" i="2"/>
  <c r="H91" i="2" s="1"/>
  <c r="G4" i="2"/>
  <c r="H4" i="2" s="1"/>
  <c r="G46" i="2"/>
  <c r="H46" i="2" s="1"/>
  <c r="G84" i="2"/>
  <c r="H84" i="2" s="1"/>
  <c r="G9" i="2"/>
  <c r="H9" i="2" s="1"/>
  <c r="G8" i="2"/>
  <c r="H8" i="2" s="1"/>
  <c r="G35" i="2"/>
  <c r="H35" i="2" s="1"/>
  <c r="G50" i="2"/>
  <c r="H50" i="2" s="1"/>
  <c r="G62" i="2"/>
  <c r="H62" i="2" s="1"/>
  <c r="G74" i="2"/>
  <c r="H74" i="2" s="1"/>
  <c r="G86" i="2"/>
  <c r="H86" i="2" s="1"/>
  <c r="G47" i="2"/>
  <c r="H47" i="2" s="1"/>
  <c r="G29" i="2"/>
  <c r="H29" i="2" s="1"/>
  <c r="G66" i="2"/>
  <c r="H66" i="2" s="1"/>
  <c r="G6" i="2"/>
  <c r="H6" i="2" s="1"/>
  <c r="G21" i="2"/>
  <c r="H21" i="2" s="1"/>
  <c r="G58" i="2"/>
  <c r="H58" i="2" s="1"/>
  <c r="G96" i="2"/>
  <c r="H96" i="2" s="1"/>
  <c r="G37" i="2"/>
  <c r="H37" i="2" s="1"/>
  <c r="G52" i="2"/>
  <c r="H52" i="2" s="1"/>
  <c r="G18" i="2"/>
  <c r="H18" i="2" s="1"/>
  <c r="G33" i="2"/>
  <c r="H33" i="2" s="1"/>
  <c r="G31" i="2"/>
  <c r="H31" i="2" s="1"/>
  <c r="G55" i="2"/>
  <c r="H55" i="2" s="1"/>
  <c r="G42" i="2"/>
  <c r="H42" i="2" s="1"/>
  <c r="G3" i="2"/>
  <c r="H3" i="2" s="1"/>
  <c r="G90" i="2"/>
  <c r="H90" i="2" s="1"/>
  <c r="G45" i="2"/>
  <c r="H45" i="2" s="1"/>
  <c r="G73" i="2"/>
  <c r="H73" i="2" s="1"/>
  <c r="G26" i="2"/>
  <c r="H26" i="2" s="1"/>
  <c r="G76" i="2"/>
  <c r="H76" i="2" s="1"/>
  <c r="G67" i="2"/>
  <c r="H67" i="2" s="1"/>
  <c r="G98" i="2"/>
  <c r="H98" i="2" s="1"/>
  <c r="G41" i="2"/>
  <c r="H41" i="2" s="1"/>
  <c r="G70" i="2"/>
  <c r="H70" i="2" s="1"/>
  <c r="O3" i="2"/>
  <c r="G59" i="2"/>
  <c r="H59" i="2" s="1"/>
  <c r="G65" i="2"/>
  <c r="H65" i="2" s="1"/>
  <c r="G95" i="2"/>
  <c r="H95" i="2" s="1"/>
  <c r="G32" i="2"/>
  <c r="H32" i="2" s="1"/>
  <c r="G57" i="2"/>
  <c r="H57" i="2" s="1"/>
  <c r="G94" i="2"/>
  <c r="H94" i="2" s="1"/>
  <c r="G85" i="2"/>
  <c r="H85" i="2" s="1"/>
  <c r="G80" i="2"/>
  <c r="H80" i="2" s="1"/>
  <c r="G75" i="2"/>
  <c r="H75" i="2" s="1"/>
  <c r="G87" i="2"/>
  <c r="H87" i="2" s="1"/>
  <c r="G13" i="2"/>
  <c r="H13" i="2" s="1"/>
  <c r="G78" i="2"/>
  <c r="H78" i="2" s="1"/>
  <c r="G2" i="2"/>
  <c r="H2" i="2" s="1"/>
  <c r="G53" i="2"/>
  <c r="H53" i="2" s="1"/>
  <c r="G20" i="2"/>
  <c r="H20" i="2" s="1"/>
  <c r="G82" i="2"/>
  <c r="H82" i="2" s="1"/>
  <c r="G10" i="2"/>
  <c r="H10" i="2" s="1"/>
  <c r="G77" i="2"/>
  <c r="H77" i="2" s="1"/>
  <c r="G16" i="2"/>
  <c r="H16" i="2" s="1"/>
  <c r="G44" i="2"/>
  <c r="H44" i="2" s="1"/>
  <c r="G69" i="2"/>
  <c r="H69" i="2" s="1"/>
  <c r="G83" i="2"/>
  <c r="H83" i="2" s="1"/>
  <c r="G17" i="2"/>
  <c r="H17" i="2" s="1"/>
  <c r="G72" i="1"/>
  <c r="I72" i="1" s="1"/>
  <c r="G52" i="1"/>
  <c r="I52" i="1" s="1"/>
  <c r="G84" i="1"/>
  <c r="I84" i="1" s="1"/>
  <c r="G7" i="1"/>
  <c r="I7" i="1" s="1"/>
  <c r="G91" i="1"/>
  <c r="I91" i="1" s="1"/>
  <c r="G37" i="1"/>
  <c r="I37" i="1" s="1"/>
  <c r="G38" i="1"/>
  <c r="I38" i="1" s="1"/>
  <c r="G11" i="1"/>
  <c r="I11" i="1" s="1"/>
  <c r="G73" i="1"/>
  <c r="I73" i="1" s="1"/>
  <c r="G44" i="1"/>
  <c r="I44" i="1" s="1"/>
  <c r="G69" i="1"/>
  <c r="I69" i="1" s="1"/>
  <c r="G56" i="1"/>
  <c r="I56" i="1" s="1"/>
  <c r="G46" i="1"/>
  <c r="I46" i="1" s="1"/>
  <c r="G48" i="1"/>
  <c r="I48" i="1" s="1"/>
  <c r="G79" i="1"/>
  <c r="I79" i="1" s="1"/>
  <c r="G54" i="1"/>
  <c r="I54" i="1" s="1"/>
  <c r="G50" i="1"/>
  <c r="I50" i="1" s="1"/>
  <c r="G9" i="1"/>
  <c r="I9" i="1" s="1"/>
  <c r="G92" i="1"/>
  <c r="I92" i="1" s="1"/>
  <c r="G75" i="1"/>
  <c r="I75" i="1" s="1"/>
  <c r="G3" i="1"/>
  <c r="I3" i="1" s="1"/>
  <c r="G47" i="1"/>
  <c r="I47" i="1" s="1"/>
  <c r="G49" i="1"/>
  <c r="I49" i="1" s="1"/>
  <c r="G96" i="1"/>
  <c r="I96" i="1" s="1"/>
  <c r="G22" i="1"/>
  <c r="I22" i="1" s="1"/>
  <c r="G34" i="1"/>
  <c r="I34" i="1" s="1"/>
  <c r="G88" i="1"/>
  <c r="I88" i="1" s="1"/>
  <c r="G90" i="1"/>
  <c r="I90" i="1" s="1"/>
  <c r="G85" i="1"/>
  <c r="I85" i="1" s="1"/>
  <c r="G14" i="1"/>
  <c r="I14" i="1" s="1"/>
  <c r="O2" i="1"/>
  <c r="G89" i="1"/>
  <c r="I89" i="1" s="1"/>
  <c r="G43" i="1"/>
  <c r="I43" i="1" s="1"/>
  <c r="G27" i="1"/>
  <c r="I27" i="1" s="1"/>
  <c r="G2" i="1"/>
  <c r="I2" i="1" s="1"/>
  <c r="G55" i="1"/>
  <c r="I55" i="1" s="1"/>
  <c r="G87" i="1"/>
  <c r="I87" i="1" s="1"/>
  <c r="G58" i="1"/>
  <c r="I58" i="1" s="1"/>
  <c r="G13" i="1"/>
  <c r="I13" i="1" s="1"/>
  <c r="G78" i="1"/>
  <c r="I78" i="1" s="1"/>
  <c r="G28" i="1"/>
  <c r="I28" i="1" s="1"/>
  <c r="G81" i="1"/>
  <c r="I81" i="1" s="1"/>
  <c r="G10" i="1"/>
  <c r="I10" i="1" s="1"/>
  <c r="G59" i="1"/>
  <c r="I59" i="1" s="1"/>
  <c r="G42" i="1"/>
  <c r="I42" i="1" s="1"/>
  <c r="G23" i="1"/>
  <c r="I23" i="1" s="1"/>
  <c r="G17" i="1"/>
  <c r="I17" i="1" s="1"/>
  <c r="G101" i="1"/>
  <c r="I101" i="1" s="1"/>
  <c r="G39" i="1"/>
  <c r="I39" i="1" s="1"/>
  <c r="G66" i="1"/>
  <c r="I66" i="1" s="1"/>
  <c r="G16" i="1"/>
  <c r="I16" i="1" s="1"/>
  <c r="G71" i="1"/>
  <c r="I71" i="1" s="1"/>
  <c r="G45" i="1"/>
  <c r="I45" i="1" s="1"/>
  <c r="G41" i="1"/>
  <c r="I41" i="1" s="1"/>
  <c r="G65" i="1"/>
  <c r="I65" i="1" s="1"/>
  <c r="G29" i="1"/>
  <c r="I29" i="1" s="1"/>
  <c r="G30" i="1"/>
  <c r="I30" i="1" s="1"/>
  <c r="G95" i="1"/>
  <c r="I95" i="1" s="1"/>
  <c r="G35" i="1"/>
  <c r="I35" i="1" s="1"/>
  <c r="G19" i="1"/>
  <c r="I19" i="1" s="1"/>
  <c r="G76" i="1"/>
  <c r="I76" i="1" s="1"/>
  <c r="G62" i="1"/>
  <c r="I62" i="1" s="1"/>
  <c r="G21" i="1"/>
  <c r="I21" i="1" s="1"/>
  <c r="G53" i="1"/>
  <c r="I53" i="1" s="1"/>
  <c r="G25" i="1"/>
  <c r="I25" i="1" s="1"/>
  <c r="G61" i="1"/>
  <c r="I61" i="1" s="1"/>
  <c r="G74" i="1"/>
  <c r="I74" i="1" s="1"/>
  <c r="G18" i="1"/>
  <c r="I18" i="1" s="1"/>
  <c r="G5" i="1"/>
  <c r="I5" i="1" s="1"/>
  <c r="G24" i="1"/>
  <c r="I24" i="1" s="1"/>
  <c r="G4" i="1"/>
  <c r="I4" i="1" s="1"/>
  <c r="G94" i="1"/>
  <c r="I94" i="1" s="1"/>
  <c r="G6" i="1"/>
  <c r="I6" i="1" s="1"/>
  <c r="G57" i="1"/>
  <c r="I57" i="1" s="1"/>
  <c r="G97" i="1"/>
  <c r="I97" i="1" s="1"/>
  <c r="G195" i="1"/>
  <c r="H195" i="1" s="1"/>
  <c r="G68" i="1"/>
  <c r="I68" i="1" s="1"/>
  <c r="G51" i="1"/>
  <c r="I51" i="1" s="1"/>
  <c r="G60" i="1"/>
  <c r="I60" i="1" s="1"/>
  <c r="G100" i="1"/>
  <c r="I100" i="1" s="1"/>
  <c r="G77" i="1"/>
  <c r="I77" i="1" s="1"/>
  <c r="G12" i="1"/>
  <c r="I12" i="1" s="1"/>
  <c r="G40" i="1"/>
  <c r="I40" i="1" s="1"/>
  <c r="G98" i="1"/>
  <c r="I98" i="1" s="1"/>
  <c r="G67" i="1"/>
  <c r="I67" i="1" s="1"/>
  <c r="G26" i="1"/>
  <c r="I26" i="1" s="1"/>
  <c r="G36" i="1"/>
  <c r="I36" i="1" s="1"/>
  <c r="G20" i="1"/>
  <c r="I20" i="1" s="1"/>
  <c r="G63" i="1"/>
  <c r="I63" i="1" s="1"/>
  <c r="G15" i="1"/>
  <c r="I15" i="1" s="1"/>
  <c r="G80" i="1"/>
  <c r="I80" i="1" s="1"/>
  <c r="G105" i="1"/>
  <c r="H105" i="1" s="1"/>
  <c r="G184" i="1"/>
  <c r="H184" i="1" s="1"/>
  <c r="G188" i="1"/>
  <c r="H188" i="1" s="1"/>
  <c r="G196" i="1"/>
  <c r="H196" i="1" s="1"/>
  <c r="G182" i="1"/>
  <c r="H182" i="1" s="1"/>
  <c r="G140" i="1"/>
  <c r="H140" i="1" s="1"/>
  <c r="G116" i="1"/>
  <c r="H116" i="1" s="1"/>
  <c r="G190" i="1"/>
  <c r="H190" i="1" s="1"/>
  <c r="G109" i="1"/>
  <c r="H109" i="1" s="1"/>
  <c r="G203" i="1"/>
  <c r="H203" i="1" s="1"/>
  <c r="G150" i="1"/>
  <c r="H150" i="1" s="1"/>
  <c r="G167" i="1"/>
  <c r="H167" i="1" s="1"/>
  <c r="G175" i="1"/>
  <c r="H175" i="1" s="1"/>
  <c r="G174" i="1"/>
  <c r="H174" i="1" s="1"/>
  <c r="G201" i="1"/>
  <c r="H201" i="1" s="1"/>
  <c r="G163" i="1"/>
  <c r="H163" i="1" s="1"/>
  <c r="G115" i="1"/>
  <c r="H115" i="1" s="1"/>
  <c r="G146" i="1"/>
  <c r="H146" i="1" s="1"/>
  <c r="G193" i="1"/>
  <c r="H193" i="1" s="1"/>
  <c r="G117" i="1"/>
  <c r="H117" i="1" s="1"/>
  <c r="G199" i="1"/>
  <c r="H199" i="1" s="1"/>
  <c r="G172" i="1"/>
  <c r="H172" i="1" s="1"/>
  <c r="G120" i="1"/>
  <c r="H120" i="1" s="1"/>
  <c r="G198" i="1"/>
  <c r="H198" i="1" s="1"/>
  <c r="G119" i="1"/>
  <c r="H119" i="1" s="1"/>
  <c r="G178" i="1"/>
  <c r="H178" i="1" s="1"/>
  <c r="G130" i="1"/>
  <c r="H130" i="1" s="1"/>
  <c r="G152" i="1"/>
  <c r="H152" i="1" s="1"/>
  <c r="G123" i="1"/>
  <c r="H123" i="1" s="1"/>
  <c r="G112" i="1"/>
  <c r="H112" i="1" s="1"/>
  <c r="G113" i="1"/>
  <c r="H113" i="1" s="1"/>
  <c r="G197" i="1"/>
  <c r="H197" i="1" s="1"/>
  <c r="G170" i="1"/>
  <c r="H170" i="1" s="1"/>
  <c r="G149" i="1"/>
  <c r="H149" i="1" s="1"/>
  <c r="G171" i="1"/>
  <c r="H171" i="1" s="1"/>
  <c r="G121" i="1"/>
  <c r="H121" i="1" s="1"/>
  <c r="G134" i="1"/>
  <c r="H134" i="1" s="1"/>
  <c r="G148" i="1"/>
  <c r="H148" i="1" s="1"/>
  <c r="G164" i="1"/>
  <c r="H164" i="1" s="1"/>
  <c r="G180" i="1"/>
  <c r="H180" i="1" s="1"/>
  <c r="G129" i="1"/>
  <c r="H129" i="1" s="1"/>
  <c r="G160" i="1"/>
  <c r="H160" i="1" s="1"/>
  <c r="G181" i="1"/>
  <c r="H181" i="1" s="1"/>
  <c r="G118" i="1"/>
  <c r="H118" i="1" s="1"/>
  <c r="G114" i="1"/>
  <c r="H114" i="1" s="1"/>
  <c r="G147" i="1"/>
  <c r="H147" i="1" s="1"/>
  <c r="G136" i="1"/>
  <c r="H136" i="1" s="1"/>
  <c r="G141" i="1"/>
  <c r="H141" i="1" s="1"/>
  <c r="G165" i="1"/>
  <c r="H165" i="1" s="1"/>
  <c r="G168" i="1"/>
  <c r="H168" i="1" s="1"/>
  <c r="G202" i="1"/>
  <c r="H202" i="1" s="1"/>
  <c r="G145" i="1"/>
  <c r="H145" i="1" s="1"/>
  <c r="G177" i="1"/>
  <c r="H177" i="1" s="1"/>
  <c r="G125" i="1"/>
  <c r="H125" i="1" s="1"/>
  <c r="G127" i="1"/>
  <c r="H127" i="1" s="1"/>
  <c r="G138" i="1"/>
  <c r="H138" i="1" s="1"/>
  <c r="G156" i="1"/>
  <c r="H156" i="1" s="1"/>
  <c r="G204" i="1"/>
  <c r="H204" i="1" s="1"/>
  <c r="G128" i="1"/>
  <c r="H128" i="1" s="1"/>
  <c r="G110" i="1"/>
  <c r="H110" i="1" s="1"/>
  <c r="G166" i="1"/>
  <c r="H166" i="1" s="1"/>
  <c r="G108" i="1"/>
  <c r="H108" i="1" s="1"/>
  <c r="G135" i="1"/>
  <c r="H135" i="1" s="1"/>
  <c r="G106" i="1"/>
  <c r="H106" i="1" s="1"/>
  <c r="G124" i="1"/>
  <c r="H124" i="1" s="1"/>
  <c r="G126" i="1"/>
  <c r="H126" i="1" s="1"/>
  <c r="G154" i="1"/>
  <c r="H154" i="1" s="1"/>
  <c r="G143" i="1"/>
  <c r="H143" i="1" s="1"/>
  <c r="G191" i="1"/>
  <c r="H191" i="1" s="1"/>
  <c r="G159" i="1"/>
  <c r="H159" i="1" s="1"/>
  <c r="G185" i="1"/>
  <c r="H185" i="1" s="1"/>
  <c r="G176" i="1"/>
  <c r="H176" i="1" s="1"/>
  <c r="G173" i="1"/>
  <c r="H173" i="1" s="1"/>
  <c r="G157" i="1"/>
  <c r="H157" i="1" s="1"/>
  <c r="G137" i="1"/>
  <c r="H137" i="1" s="1"/>
  <c r="G192" i="1"/>
  <c r="H192" i="1" s="1"/>
  <c r="G186" i="1"/>
  <c r="H186" i="1" s="1"/>
  <c r="G162" i="1"/>
  <c r="H162" i="1" s="1"/>
  <c r="G194" i="1"/>
  <c r="H194" i="1" s="1"/>
  <c r="G183" i="1"/>
  <c r="H183" i="1" s="1"/>
  <c r="G131" i="1"/>
  <c r="H131" i="1" s="1"/>
  <c r="G200" i="1"/>
  <c r="H200" i="1" s="1"/>
  <c r="G153" i="1"/>
  <c r="H153" i="1" s="1"/>
  <c r="G158" i="1"/>
  <c r="H158" i="1" s="1"/>
  <c r="G132" i="1"/>
  <c r="H132" i="1" s="1"/>
  <c r="G111" i="1"/>
  <c r="H111" i="1" s="1"/>
  <c r="G142" i="1"/>
  <c r="H142" i="1" s="1"/>
  <c r="G144" i="1"/>
  <c r="H144" i="1" s="1"/>
  <c r="G189" i="1"/>
  <c r="H189" i="1" s="1"/>
  <c r="G187" i="1"/>
  <c r="H187" i="1" s="1"/>
  <c r="G133" i="1"/>
  <c r="H133" i="1" s="1"/>
  <c r="G139" i="1"/>
  <c r="H139" i="1" s="1"/>
  <c r="G169" i="1"/>
  <c r="H169" i="1" s="1"/>
  <c r="G107" i="1"/>
  <c r="H107" i="1" s="1"/>
  <c r="G179" i="1"/>
  <c r="H179" i="1" s="1"/>
  <c r="G161" i="1"/>
  <c r="H161" i="1" s="1"/>
  <c r="G155" i="1"/>
  <c r="H155" i="1" s="1"/>
  <c r="G122" i="1"/>
  <c r="H122" i="1" s="1"/>
  <c r="G151" i="1"/>
  <c r="H151" i="1" s="1"/>
  <c r="H105" i="2" l="1"/>
  <c r="I105" i="2"/>
  <c r="O2" i="2"/>
  <c r="O4" i="2" s="1"/>
  <c r="S2" i="2" s="1"/>
  <c r="T2" i="2" s="1"/>
  <c r="O3" i="1"/>
  <c r="O4" i="1"/>
  <c r="S2" i="1" s="1"/>
  <c r="T2" i="1" s="1"/>
</calcChain>
</file>

<file path=xl/sharedStrings.xml><?xml version="1.0" encoding="utf-8"?>
<sst xmlns="http://schemas.openxmlformats.org/spreadsheetml/2006/main" count="714" uniqueCount="34">
  <si>
    <t>Entrada</t>
  </si>
  <si>
    <t>crescente</t>
  </si>
  <si>
    <t>Inserção (ns)</t>
  </si>
  <si>
    <t>Exclusão (ns)</t>
  </si>
  <si>
    <t>Diferença</t>
  </si>
  <si>
    <t>Absoluto</t>
  </si>
  <si>
    <t>Rank</t>
  </si>
  <si>
    <t>Rank positivo</t>
  </si>
  <si>
    <t>Rank negativo</t>
  </si>
  <si>
    <t>W+</t>
  </si>
  <si>
    <t>W-</t>
  </si>
  <si>
    <t>MÉDIA TEÓRICA</t>
  </si>
  <si>
    <t>DESVIO PADRÃO</t>
  </si>
  <si>
    <t>W</t>
  </si>
  <si>
    <t>Z</t>
  </si>
  <si>
    <t>p-value</t>
  </si>
  <si>
    <t>TESTES DE WILCOXON - ENTRADA CRESCENTE</t>
  </si>
  <si>
    <t>decrescente</t>
  </si>
  <si>
    <t>Execução nº</t>
  </si>
  <si>
    <t>aleatória</t>
  </si>
  <si>
    <t>TESTES DE WILCOXON - ENTRADA DECRESCENTE</t>
  </si>
  <si>
    <t>TESTES DE WILCOXON - ENTRADA ALEATÓRIA</t>
  </si>
  <si>
    <t>Inserção</t>
  </si>
  <si>
    <t>Ordenação crescente</t>
  </si>
  <si>
    <t>Ordenação decrescente</t>
  </si>
  <si>
    <t>Inserção crescente</t>
  </si>
  <si>
    <t>620287800 ± 63290060</t>
  </si>
  <si>
    <t>961369700 ± 103077900</t>
  </si>
  <si>
    <t>Inserção decrescente</t>
  </si>
  <si>
    <t>944927100 ± 96364850</t>
  </si>
  <si>
    <t>617049500 ± 63092340</t>
  </si>
  <si>
    <t>Inserção aleatória</t>
  </si>
  <si>
    <t>813503000 ± 82558570</t>
  </si>
  <si>
    <t>808423900 ± 82185190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</si>
</sst>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6" sqref="A6"/>
    </sheetView>
  </sheetViews>
  <sheetFormatPr defaultRowHeight="15" x14ac:dyDescent="0.25"/>
  <cols>
    <col min="1" max="1" width="20" bestFit="1" customWidth="1"/>
    <col min="2" max="2" width="20.140625" bestFit="1" customWidth="1"/>
    <col min="3" max="3" width="22.28515625" bestFit="1" customWidth="1"/>
  </cols>
  <sheetData>
    <row r="1" spans="1:3" x14ac:dyDescent="0.25">
      <c r="A1" s="3" t="s">
        <v>22</v>
      </c>
      <c r="B1" s="3" t="s">
        <v>23</v>
      </c>
      <c r="C1" s="3" t="s">
        <v>24</v>
      </c>
    </row>
    <row r="2" spans="1:3" x14ac:dyDescent="0.25">
      <c r="A2" s="4" t="s">
        <v>25</v>
      </c>
      <c r="B2" s="5" t="s">
        <v>26</v>
      </c>
      <c r="C2" s="5" t="s">
        <v>27</v>
      </c>
    </row>
    <row r="3" spans="1:3" x14ac:dyDescent="0.25">
      <c r="A3" s="4" t="s">
        <v>28</v>
      </c>
      <c r="B3" s="5" t="s">
        <v>29</v>
      </c>
      <c r="C3" s="5" t="s">
        <v>30</v>
      </c>
    </row>
    <row r="4" spans="1:3" x14ac:dyDescent="0.25">
      <c r="A4" s="4" t="s">
        <v>31</v>
      </c>
      <c r="B4" s="5" t="s">
        <v>32</v>
      </c>
      <c r="C4" s="5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8"/>
  <sheetViews>
    <sheetView topLeftCell="A196" workbookViewId="0">
      <selection activeCell="D232" sqref="D232"/>
    </sheetView>
  </sheetViews>
  <sheetFormatPr defaultRowHeight="15" x14ac:dyDescent="0.25"/>
  <cols>
    <col min="1" max="1" width="11.85546875" bestFit="1" customWidth="1"/>
    <col min="2" max="2" width="11.5703125" bestFit="1" customWidth="1"/>
    <col min="3" max="3" width="14.5703125" bestFit="1" customWidth="1"/>
    <col min="4" max="4" width="14.7109375" bestFit="1" customWidth="1"/>
    <col min="5" max="5" width="11.85546875" bestFit="1" customWidth="1"/>
    <col min="6" max="6" width="11.28515625" bestFit="1" customWidth="1"/>
    <col min="7" max="7" width="7.5703125" bestFit="1" customWidth="1"/>
    <col min="8" max="8" width="15.140625" bestFit="1" customWidth="1"/>
    <col min="9" max="9" width="15.85546875" bestFit="1" customWidth="1"/>
    <col min="11" max="11" width="10" bestFit="1" customWidth="1"/>
    <col min="17" max="17" width="15" bestFit="1" customWidth="1"/>
    <col min="18" max="18" width="15.7109375" bestFit="1" customWidth="1"/>
    <col min="20" max="20" width="12" bestFit="1" customWidth="1"/>
  </cols>
  <sheetData>
    <row r="1" spans="1:20" x14ac:dyDescent="0.25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Q1" s="1" t="s">
        <v>11</v>
      </c>
      <c r="R1" s="1" t="s">
        <v>12</v>
      </c>
      <c r="S1" s="1" t="s">
        <v>14</v>
      </c>
      <c r="T1" s="1" t="s">
        <v>15</v>
      </c>
    </row>
    <row r="2" spans="1:20" x14ac:dyDescent="0.25">
      <c r="A2" s="1" t="s">
        <v>1</v>
      </c>
      <c r="B2" s="1">
        <v>100</v>
      </c>
      <c r="C2" s="1">
        <v>671747900</v>
      </c>
      <c r="D2" s="1">
        <v>914557400</v>
      </c>
      <c r="E2" s="1">
        <f t="shared" ref="E2:E33" si="0">C2-D2</f>
        <v>-242809500</v>
      </c>
      <c r="F2" s="1">
        <f t="shared" ref="F2:F33" si="1">ABS(E2)</f>
        <v>242809500</v>
      </c>
      <c r="G2" s="1">
        <f t="shared" ref="G2:G33" si="2">_xlfn.RANK.AVG(F2,$F$2:$F$101,1)</f>
        <v>1</v>
      </c>
      <c r="H2" s="1">
        <f>IF(E2&gt;0,G2,0)</f>
        <v>0</v>
      </c>
      <c r="I2" s="1">
        <f>IF(E2&lt;0,G2,0)</f>
        <v>1</v>
      </c>
      <c r="N2" s="1" t="s">
        <v>9</v>
      </c>
      <c r="O2" s="1">
        <f>SUM(H2:H101)</f>
        <v>0</v>
      </c>
      <c r="Q2" s="1">
        <f>100*(101)/4</f>
        <v>2525</v>
      </c>
      <c r="R2" s="1">
        <f>SQRT(100*101*201/24)</f>
        <v>290.83930270855763</v>
      </c>
      <c r="S2" s="1">
        <f>(O4-Q2)/R2</f>
        <v>-8.6817702301061956</v>
      </c>
      <c r="T2" s="1">
        <f>_xlfn.NORM.S.DIST(-ABS(S2),1)*2</f>
        <v>3.8965598450959092E-18</v>
      </c>
    </row>
    <row r="3" spans="1:20" x14ac:dyDescent="0.25">
      <c r="A3" s="1" t="s">
        <v>1</v>
      </c>
      <c r="B3" s="1">
        <v>76</v>
      </c>
      <c r="C3" s="1">
        <v>656957200</v>
      </c>
      <c r="D3" s="1">
        <v>911962900</v>
      </c>
      <c r="E3" s="1">
        <f t="shared" si="0"/>
        <v>-255005700</v>
      </c>
      <c r="F3" s="1">
        <f t="shared" si="1"/>
        <v>255005700</v>
      </c>
      <c r="G3" s="1">
        <f t="shared" si="2"/>
        <v>2</v>
      </c>
      <c r="H3" s="1">
        <f t="shared" ref="H3:H66" si="3">IF(E3&gt;0,G3,0)</f>
        <v>0</v>
      </c>
      <c r="I3" s="1">
        <f t="shared" ref="I3:I66" si="4">IF(E3&lt;0,G3,0)</f>
        <v>2</v>
      </c>
      <c r="N3" s="1" t="s">
        <v>10</v>
      </c>
      <c r="O3" s="1">
        <f>SUM(I2:I101)</f>
        <v>5050</v>
      </c>
    </row>
    <row r="4" spans="1:20" x14ac:dyDescent="0.25">
      <c r="A4" s="1" t="s">
        <v>1</v>
      </c>
      <c r="B4" s="1">
        <v>93</v>
      </c>
      <c r="C4" s="1">
        <v>646445799</v>
      </c>
      <c r="D4" s="1">
        <v>913042400</v>
      </c>
      <c r="E4" s="1">
        <f t="shared" si="0"/>
        <v>-266596601</v>
      </c>
      <c r="F4" s="1">
        <f t="shared" si="1"/>
        <v>266596601</v>
      </c>
      <c r="G4" s="1">
        <f t="shared" si="2"/>
        <v>3</v>
      </c>
      <c r="H4" s="1">
        <f t="shared" si="3"/>
        <v>0</v>
      </c>
      <c r="I4" s="1">
        <f t="shared" si="4"/>
        <v>3</v>
      </c>
      <c r="N4" s="1" t="s">
        <v>13</v>
      </c>
      <c r="O4" s="1">
        <f>MIN(O2,O3)</f>
        <v>0</v>
      </c>
    </row>
    <row r="5" spans="1:20" x14ac:dyDescent="0.25">
      <c r="A5" s="1" t="s">
        <v>1</v>
      </c>
      <c r="B5" s="1">
        <v>54</v>
      </c>
      <c r="C5" s="1">
        <v>646602000</v>
      </c>
      <c r="D5" s="1">
        <v>915769000</v>
      </c>
      <c r="E5" s="1">
        <f t="shared" si="0"/>
        <v>-269167000</v>
      </c>
      <c r="F5" s="1">
        <f t="shared" si="1"/>
        <v>269167000</v>
      </c>
      <c r="G5" s="1">
        <f t="shared" si="2"/>
        <v>4</v>
      </c>
      <c r="H5" s="1">
        <f t="shared" si="3"/>
        <v>0</v>
      </c>
      <c r="I5" s="1">
        <f t="shared" si="4"/>
        <v>4</v>
      </c>
    </row>
    <row r="6" spans="1:20" x14ac:dyDescent="0.25">
      <c r="A6" s="1" t="s">
        <v>1</v>
      </c>
      <c r="B6" s="1">
        <v>68</v>
      </c>
      <c r="C6" s="1">
        <v>656943000</v>
      </c>
      <c r="D6" s="1">
        <v>927753000</v>
      </c>
      <c r="E6" s="1">
        <f t="shared" si="0"/>
        <v>-270810000</v>
      </c>
      <c r="F6" s="1">
        <f t="shared" si="1"/>
        <v>270810000</v>
      </c>
      <c r="G6" s="1">
        <f t="shared" si="2"/>
        <v>5</v>
      </c>
      <c r="H6" s="1">
        <f t="shared" si="3"/>
        <v>0</v>
      </c>
      <c r="I6" s="1">
        <f t="shared" si="4"/>
        <v>5</v>
      </c>
    </row>
    <row r="7" spans="1:20" x14ac:dyDescent="0.25">
      <c r="A7" s="1" t="s">
        <v>1</v>
      </c>
      <c r="B7" s="1">
        <v>53</v>
      </c>
      <c r="C7" s="1">
        <v>645884000</v>
      </c>
      <c r="D7" s="1">
        <v>917547000</v>
      </c>
      <c r="E7" s="1">
        <f t="shared" si="0"/>
        <v>-271663000</v>
      </c>
      <c r="F7" s="1">
        <f t="shared" si="1"/>
        <v>271663000</v>
      </c>
      <c r="G7" s="1">
        <f t="shared" si="2"/>
        <v>6</v>
      </c>
      <c r="H7" s="1">
        <f t="shared" si="3"/>
        <v>0</v>
      </c>
      <c r="I7" s="1">
        <f t="shared" si="4"/>
        <v>6</v>
      </c>
    </row>
    <row r="8" spans="1:20" x14ac:dyDescent="0.25">
      <c r="A8" s="1" t="s">
        <v>1</v>
      </c>
      <c r="B8" s="1">
        <v>69</v>
      </c>
      <c r="C8" s="1">
        <v>662334900</v>
      </c>
      <c r="D8" s="1">
        <v>937101800</v>
      </c>
      <c r="E8" s="1">
        <f t="shared" si="0"/>
        <v>-274766900</v>
      </c>
      <c r="F8" s="1">
        <f t="shared" si="1"/>
        <v>274766900</v>
      </c>
      <c r="G8" s="1">
        <f t="shared" si="2"/>
        <v>7</v>
      </c>
      <c r="H8" s="1">
        <f t="shared" si="3"/>
        <v>0</v>
      </c>
      <c r="I8" s="1">
        <f t="shared" si="4"/>
        <v>7</v>
      </c>
    </row>
    <row r="9" spans="1:20" x14ac:dyDescent="0.25">
      <c r="A9" s="1" t="s">
        <v>1</v>
      </c>
      <c r="B9" s="1">
        <v>92</v>
      </c>
      <c r="C9" s="1">
        <v>633753000</v>
      </c>
      <c r="D9" s="1">
        <v>913908900</v>
      </c>
      <c r="E9" s="1">
        <f t="shared" si="0"/>
        <v>-280155900</v>
      </c>
      <c r="F9" s="1">
        <f t="shared" si="1"/>
        <v>280155900</v>
      </c>
      <c r="G9" s="1">
        <f t="shared" si="2"/>
        <v>8</v>
      </c>
      <c r="H9" s="1">
        <f t="shared" si="3"/>
        <v>0</v>
      </c>
      <c r="I9" s="1">
        <f t="shared" si="4"/>
        <v>8</v>
      </c>
    </row>
    <row r="10" spans="1:20" x14ac:dyDescent="0.25">
      <c r="A10" s="1" t="s">
        <v>1</v>
      </c>
      <c r="B10" s="1">
        <v>77</v>
      </c>
      <c r="C10" s="1">
        <v>633799900</v>
      </c>
      <c r="D10" s="1">
        <v>913983700</v>
      </c>
      <c r="E10" s="1">
        <f t="shared" si="0"/>
        <v>-280183800</v>
      </c>
      <c r="F10" s="1">
        <f t="shared" si="1"/>
        <v>280183800</v>
      </c>
      <c r="G10" s="1">
        <f t="shared" si="2"/>
        <v>9</v>
      </c>
      <c r="H10" s="1">
        <f t="shared" si="3"/>
        <v>0</v>
      </c>
      <c r="I10" s="1">
        <f t="shared" si="4"/>
        <v>9</v>
      </c>
    </row>
    <row r="11" spans="1:20" x14ac:dyDescent="0.25">
      <c r="A11" s="1" t="s">
        <v>1</v>
      </c>
      <c r="B11" s="1">
        <v>52</v>
      </c>
      <c r="C11" s="1">
        <v>636830200</v>
      </c>
      <c r="D11" s="1">
        <v>917472700</v>
      </c>
      <c r="E11" s="1">
        <f t="shared" si="0"/>
        <v>-280642500</v>
      </c>
      <c r="F11" s="1">
        <f t="shared" si="1"/>
        <v>280642500</v>
      </c>
      <c r="G11" s="1">
        <f t="shared" si="2"/>
        <v>10</v>
      </c>
      <c r="H11" s="1">
        <f t="shared" si="3"/>
        <v>0</v>
      </c>
      <c r="I11" s="1">
        <f t="shared" si="4"/>
        <v>10</v>
      </c>
    </row>
    <row r="12" spans="1:20" x14ac:dyDescent="0.25">
      <c r="A12" s="1" t="s">
        <v>1</v>
      </c>
      <c r="B12" s="1">
        <v>79</v>
      </c>
      <c r="C12" s="1">
        <v>631755299</v>
      </c>
      <c r="D12" s="1">
        <v>913503400</v>
      </c>
      <c r="E12" s="1">
        <f t="shared" si="0"/>
        <v>-281748101</v>
      </c>
      <c r="F12" s="1">
        <f t="shared" si="1"/>
        <v>281748101</v>
      </c>
      <c r="G12" s="1">
        <f t="shared" si="2"/>
        <v>11</v>
      </c>
      <c r="H12" s="1">
        <f t="shared" si="3"/>
        <v>0</v>
      </c>
      <c r="I12" s="1">
        <f t="shared" si="4"/>
        <v>11</v>
      </c>
    </row>
    <row r="13" spans="1:20" x14ac:dyDescent="0.25">
      <c r="A13" s="1" t="s">
        <v>1</v>
      </c>
      <c r="B13" s="1">
        <v>48</v>
      </c>
      <c r="C13" s="1">
        <v>636875800</v>
      </c>
      <c r="D13" s="1">
        <v>919178200</v>
      </c>
      <c r="E13" s="1">
        <f t="shared" si="0"/>
        <v>-282302400</v>
      </c>
      <c r="F13" s="1">
        <f t="shared" si="1"/>
        <v>282302400</v>
      </c>
      <c r="G13" s="1">
        <f t="shared" si="2"/>
        <v>12</v>
      </c>
      <c r="H13" s="1">
        <f t="shared" si="3"/>
        <v>0</v>
      </c>
      <c r="I13" s="1">
        <f t="shared" si="4"/>
        <v>12</v>
      </c>
    </row>
    <row r="14" spans="1:20" x14ac:dyDescent="0.25">
      <c r="A14" s="1" t="s">
        <v>1</v>
      </c>
      <c r="B14" s="1">
        <v>88</v>
      </c>
      <c r="C14" s="1">
        <v>637310400</v>
      </c>
      <c r="D14" s="1">
        <v>919941300</v>
      </c>
      <c r="E14" s="1">
        <f t="shared" si="0"/>
        <v>-282630900</v>
      </c>
      <c r="F14" s="1">
        <f t="shared" si="1"/>
        <v>282630900</v>
      </c>
      <c r="G14" s="1">
        <f t="shared" si="2"/>
        <v>13</v>
      </c>
      <c r="H14" s="1">
        <f t="shared" si="3"/>
        <v>0</v>
      </c>
      <c r="I14" s="1">
        <f t="shared" si="4"/>
        <v>13</v>
      </c>
      <c r="N14" s="2" t="s">
        <v>16</v>
      </c>
      <c r="O14" s="2"/>
      <c r="P14" s="2"/>
      <c r="Q14" s="2"/>
      <c r="R14" s="2"/>
      <c r="S14" s="2"/>
      <c r="T14" s="2"/>
    </row>
    <row r="15" spans="1:20" x14ac:dyDescent="0.25">
      <c r="A15" s="1" t="s">
        <v>1</v>
      </c>
      <c r="B15" s="1">
        <v>86</v>
      </c>
      <c r="C15" s="1">
        <v>628270200</v>
      </c>
      <c r="D15" s="1">
        <v>911401300</v>
      </c>
      <c r="E15" s="1">
        <f t="shared" si="0"/>
        <v>-283131100</v>
      </c>
      <c r="F15" s="1">
        <f t="shared" si="1"/>
        <v>283131100</v>
      </c>
      <c r="G15" s="1">
        <f t="shared" si="2"/>
        <v>14</v>
      </c>
      <c r="H15" s="1">
        <f t="shared" si="3"/>
        <v>0</v>
      </c>
      <c r="I15" s="1">
        <f t="shared" si="4"/>
        <v>14</v>
      </c>
      <c r="N15" s="2"/>
      <c r="O15" s="2"/>
      <c r="P15" s="2"/>
      <c r="Q15" s="2"/>
      <c r="R15" s="2"/>
      <c r="S15" s="2"/>
      <c r="T15" s="2"/>
    </row>
    <row r="16" spans="1:20" x14ac:dyDescent="0.25">
      <c r="A16" s="1" t="s">
        <v>1</v>
      </c>
      <c r="B16" s="1">
        <v>81</v>
      </c>
      <c r="C16" s="1">
        <v>628554001</v>
      </c>
      <c r="D16" s="1">
        <v>911764800</v>
      </c>
      <c r="E16" s="1">
        <f t="shared" si="0"/>
        <v>-283210799</v>
      </c>
      <c r="F16" s="1">
        <f t="shared" si="1"/>
        <v>283210799</v>
      </c>
      <c r="G16" s="1">
        <f t="shared" si="2"/>
        <v>15</v>
      </c>
      <c r="H16" s="1">
        <f t="shared" si="3"/>
        <v>0</v>
      </c>
      <c r="I16" s="1">
        <f t="shared" si="4"/>
        <v>15</v>
      </c>
      <c r="N16" s="2"/>
      <c r="O16" s="2"/>
      <c r="P16" s="2"/>
      <c r="Q16" s="2"/>
      <c r="R16" s="2"/>
      <c r="S16" s="2"/>
      <c r="T16" s="2"/>
    </row>
    <row r="17" spans="1:20" x14ac:dyDescent="0.25">
      <c r="A17" s="1" t="s">
        <v>1</v>
      </c>
      <c r="B17" s="1">
        <v>60</v>
      </c>
      <c r="C17" s="1">
        <v>635703000</v>
      </c>
      <c r="D17" s="1">
        <v>919032400</v>
      </c>
      <c r="E17" s="1">
        <f t="shared" si="0"/>
        <v>-283329400</v>
      </c>
      <c r="F17" s="1">
        <f t="shared" si="1"/>
        <v>283329400</v>
      </c>
      <c r="G17" s="1">
        <f t="shared" si="2"/>
        <v>16</v>
      </c>
      <c r="H17" s="1">
        <f t="shared" si="3"/>
        <v>0</v>
      </c>
      <c r="I17" s="1">
        <f t="shared" si="4"/>
        <v>16</v>
      </c>
      <c r="N17" s="2"/>
      <c r="O17" s="2"/>
      <c r="P17" s="2"/>
      <c r="Q17" s="2"/>
      <c r="R17" s="2"/>
      <c r="S17" s="2"/>
      <c r="T17" s="2"/>
    </row>
    <row r="18" spans="1:20" x14ac:dyDescent="0.25">
      <c r="A18" s="1" t="s">
        <v>1</v>
      </c>
      <c r="B18" s="1">
        <v>80</v>
      </c>
      <c r="C18" s="1">
        <v>629864000</v>
      </c>
      <c r="D18" s="1">
        <v>913450400</v>
      </c>
      <c r="E18" s="1">
        <f t="shared" si="0"/>
        <v>-283586400</v>
      </c>
      <c r="F18" s="1">
        <f t="shared" si="1"/>
        <v>283586400</v>
      </c>
      <c r="G18" s="1">
        <f t="shared" si="2"/>
        <v>17</v>
      </c>
      <c r="H18" s="1">
        <f t="shared" si="3"/>
        <v>0</v>
      </c>
      <c r="I18" s="1">
        <f t="shared" si="4"/>
        <v>17</v>
      </c>
      <c r="N18" s="2"/>
      <c r="O18" s="2"/>
      <c r="P18" s="2"/>
      <c r="Q18" s="2"/>
      <c r="R18" s="2"/>
      <c r="S18" s="2"/>
      <c r="T18" s="2"/>
    </row>
    <row r="19" spans="1:20" x14ac:dyDescent="0.25">
      <c r="A19" s="1" t="s">
        <v>1</v>
      </c>
      <c r="B19" s="1">
        <v>83</v>
      </c>
      <c r="C19" s="1">
        <v>631401500</v>
      </c>
      <c r="D19" s="1">
        <v>915266500</v>
      </c>
      <c r="E19" s="1">
        <f t="shared" si="0"/>
        <v>-283865000</v>
      </c>
      <c r="F19" s="1">
        <f t="shared" si="1"/>
        <v>283865000</v>
      </c>
      <c r="G19" s="1">
        <f t="shared" si="2"/>
        <v>18</v>
      </c>
      <c r="H19" s="1">
        <f t="shared" si="3"/>
        <v>0</v>
      </c>
      <c r="I19" s="1">
        <f t="shared" si="4"/>
        <v>18</v>
      </c>
    </row>
    <row r="20" spans="1:20" x14ac:dyDescent="0.25">
      <c r="A20" s="1" t="s">
        <v>1</v>
      </c>
      <c r="B20" s="1">
        <v>91</v>
      </c>
      <c r="C20" s="1">
        <v>627716299</v>
      </c>
      <c r="D20" s="1">
        <v>911778900</v>
      </c>
      <c r="E20" s="1">
        <f t="shared" si="0"/>
        <v>-284062601</v>
      </c>
      <c r="F20" s="1">
        <f t="shared" si="1"/>
        <v>284062601</v>
      </c>
      <c r="G20" s="1">
        <f t="shared" si="2"/>
        <v>19</v>
      </c>
      <c r="H20" s="1">
        <f t="shared" si="3"/>
        <v>0</v>
      </c>
      <c r="I20" s="1">
        <f t="shared" si="4"/>
        <v>19</v>
      </c>
    </row>
    <row r="21" spans="1:20" x14ac:dyDescent="0.25">
      <c r="A21" s="1" t="s">
        <v>1</v>
      </c>
      <c r="B21" s="1">
        <v>38</v>
      </c>
      <c r="C21" s="1">
        <v>635696601</v>
      </c>
      <c r="D21" s="1">
        <v>919841300</v>
      </c>
      <c r="E21" s="1">
        <f t="shared" si="0"/>
        <v>-284144699</v>
      </c>
      <c r="F21" s="1">
        <f t="shared" si="1"/>
        <v>284144699</v>
      </c>
      <c r="G21" s="1">
        <f t="shared" si="2"/>
        <v>20</v>
      </c>
      <c r="H21" s="1">
        <f t="shared" si="3"/>
        <v>0</v>
      </c>
      <c r="I21" s="1">
        <f t="shared" si="4"/>
        <v>20</v>
      </c>
    </row>
    <row r="22" spans="1:20" x14ac:dyDescent="0.25">
      <c r="A22" s="1" t="s">
        <v>1</v>
      </c>
      <c r="B22" s="1">
        <v>61</v>
      </c>
      <c r="C22" s="1">
        <v>633112200</v>
      </c>
      <c r="D22" s="1">
        <v>917514500</v>
      </c>
      <c r="E22" s="1">
        <f t="shared" si="0"/>
        <v>-284402300</v>
      </c>
      <c r="F22" s="1">
        <f t="shared" si="1"/>
        <v>284402300</v>
      </c>
      <c r="G22" s="1">
        <f t="shared" si="2"/>
        <v>21</v>
      </c>
      <c r="H22" s="1">
        <f t="shared" si="3"/>
        <v>0</v>
      </c>
      <c r="I22" s="1">
        <f t="shared" si="4"/>
        <v>21</v>
      </c>
    </row>
    <row r="23" spans="1:20" x14ac:dyDescent="0.25">
      <c r="A23" s="1" t="s">
        <v>1</v>
      </c>
      <c r="B23" s="1">
        <v>36</v>
      </c>
      <c r="C23" s="1">
        <v>633757500</v>
      </c>
      <c r="D23" s="1">
        <v>918523100</v>
      </c>
      <c r="E23" s="1">
        <f t="shared" si="0"/>
        <v>-284765600</v>
      </c>
      <c r="F23" s="1">
        <f t="shared" si="1"/>
        <v>284765600</v>
      </c>
      <c r="G23" s="1">
        <f t="shared" si="2"/>
        <v>22</v>
      </c>
      <c r="H23" s="1">
        <f t="shared" si="3"/>
        <v>0</v>
      </c>
      <c r="I23" s="1">
        <f t="shared" si="4"/>
        <v>22</v>
      </c>
    </row>
    <row r="24" spans="1:20" x14ac:dyDescent="0.25">
      <c r="A24" s="1" t="s">
        <v>1</v>
      </c>
      <c r="B24" s="1">
        <v>55</v>
      </c>
      <c r="C24" s="1">
        <v>635985299</v>
      </c>
      <c r="D24" s="1">
        <v>921426600</v>
      </c>
      <c r="E24" s="1">
        <f t="shared" si="0"/>
        <v>-285441301</v>
      </c>
      <c r="F24" s="1">
        <f t="shared" si="1"/>
        <v>285441301</v>
      </c>
      <c r="G24" s="1">
        <f t="shared" si="2"/>
        <v>23</v>
      </c>
      <c r="H24" s="1">
        <f t="shared" si="3"/>
        <v>0</v>
      </c>
      <c r="I24" s="1">
        <f t="shared" si="4"/>
        <v>23</v>
      </c>
    </row>
    <row r="25" spans="1:20" x14ac:dyDescent="0.25">
      <c r="A25" s="1" t="s">
        <v>1</v>
      </c>
      <c r="B25" s="1">
        <v>51</v>
      </c>
      <c r="C25" s="1">
        <v>632160700</v>
      </c>
      <c r="D25" s="1">
        <v>918159500</v>
      </c>
      <c r="E25" s="1">
        <f t="shared" si="0"/>
        <v>-285998800</v>
      </c>
      <c r="F25" s="1">
        <f t="shared" si="1"/>
        <v>285998800</v>
      </c>
      <c r="G25" s="1">
        <f t="shared" si="2"/>
        <v>24</v>
      </c>
      <c r="H25" s="1">
        <f t="shared" si="3"/>
        <v>0</v>
      </c>
      <c r="I25" s="1">
        <f t="shared" si="4"/>
        <v>24</v>
      </c>
    </row>
    <row r="26" spans="1:20" x14ac:dyDescent="0.25">
      <c r="A26" s="1" t="s">
        <v>1</v>
      </c>
      <c r="B26" s="1">
        <v>78</v>
      </c>
      <c r="C26" s="1">
        <v>632945200</v>
      </c>
      <c r="D26" s="1">
        <v>919070800</v>
      </c>
      <c r="E26" s="1">
        <f t="shared" si="0"/>
        <v>-286125600</v>
      </c>
      <c r="F26" s="1">
        <f t="shared" si="1"/>
        <v>286125600</v>
      </c>
      <c r="G26" s="1">
        <f t="shared" si="2"/>
        <v>25</v>
      </c>
      <c r="H26" s="1">
        <f t="shared" si="3"/>
        <v>0</v>
      </c>
      <c r="I26" s="1">
        <f t="shared" si="4"/>
        <v>25</v>
      </c>
    </row>
    <row r="27" spans="1:20" x14ac:dyDescent="0.25">
      <c r="A27" s="1" t="s">
        <v>1</v>
      </c>
      <c r="B27" s="1">
        <v>84</v>
      </c>
      <c r="C27" s="1">
        <v>630155600</v>
      </c>
      <c r="D27" s="1">
        <v>917573900</v>
      </c>
      <c r="E27" s="1">
        <f t="shared" si="0"/>
        <v>-287418300</v>
      </c>
      <c r="F27" s="1">
        <f t="shared" si="1"/>
        <v>287418300</v>
      </c>
      <c r="G27" s="1">
        <f t="shared" si="2"/>
        <v>26</v>
      </c>
      <c r="H27" s="1">
        <f t="shared" si="3"/>
        <v>0</v>
      </c>
      <c r="I27" s="1">
        <f t="shared" si="4"/>
        <v>26</v>
      </c>
    </row>
    <row r="28" spans="1:20" x14ac:dyDescent="0.25">
      <c r="A28" s="1" t="s">
        <v>1</v>
      </c>
      <c r="B28" s="1">
        <v>49</v>
      </c>
      <c r="C28" s="1">
        <v>628295099</v>
      </c>
      <c r="D28" s="1">
        <v>915817200</v>
      </c>
      <c r="E28" s="1">
        <f t="shared" si="0"/>
        <v>-287522101</v>
      </c>
      <c r="F28" s="1">
        <f t="shared" si="1"/>
        <v>287522101</v>
      </c>
      <c r="G28" s="1">
        <f t="shared" si="2"/>
        <v>27</v>
      </c>
      <c r="H28" s="1">
        <f t="shared" si="3"/>
        <v>0</v>
      </c>
      <c r="I28" s="1">
        <f t="shared" si="4"/>
        <v>27</v>
      </c>
    </row>
    <row r="29" spans="1:20" x14ac:dyDescent="0.25">
      <c r="A29" s="1" t="s">
        <v>1</v>
      </c>
      <c r="B29" s="1">
        <v>89</v>
      </c>
      <c r="C29" s="1">
        <v>625902600</v>
      </c>
      <c r="D29" s="1">
        <v>913440800</v>
      </c>
      <c r="E29" s="1">
        <f t="shared" si="0"/>
        <v>-287538200</v>
      </c>
      <c r="F29" s="1">
        <f t="shared" si="1"/>
        <v>287538200</v>
      </c>
      <c r="G29" s="1">
        <f t="shared" si="2"/>
        <v>28</v>
      </c>
      <c r="H29" s="1">
        <f t="shared" si="3"/>
        <v>0</v>
      </c>
      <c r="I29" s="1">
        <f t="shared" si="4"/>
        <v>28</v>
      </c>
    </row>
    <row r="30" spans="1:20" x14ac:dyDescent="0.25">
      <c r="A30" s="1" t="s">
        <v>1</v>
      </c>
      <c r="B30" s="1">
        <v>99</v>
      </c>
      <c r="C30" s="1">
        <v>626057100</v>
      </c>
      <c r="D30" s="1">
        <v>913742300</v>
      </c>
      <c r="E30" s="1">
        <f t="shared" si="0"/>
        <v>-287685200</v>
      </c>
      <c r="F30" s="1">
        <f t="shared" si="1"/>
        <v>287685200</v>
      </c>
      <c r="G30" s="1">
        <f t="shared" si="2"/>
        <v>29</v>
      </c>
      <c r="H30" s="1">
        <f t="shared" si="3"/>
        <v>0</v>
      </c>
      <c r="I30" s="1">
        <f t="shared" si="4"/>
        <v>29</v>
      </c>
    </row>
    <row r="31" spans="1:20" x14ac:dyDescent="0.25">
      <c r="A31" s="1" t="s">
        <v>1</v>
      </c>
      <c r="B31" s="1">
        <v>46</v>
      </c>
      <c r="C31" s="1">
        <v>631032000</v>
      </c>
      <c r="D31" s="1">
        <v>918959700</v>
      </c>
      <c r="E31" s="1">
        <f t="shared" si="0"/>
        <v>-287927700</v>
      </c>
      <c r="F31" s="1">
        <f t="shared" si="1"/>
        <v>287927700</v>
      </c>
      <c r="G31" s="1">
        <f t="shared" si="2"/>
        <v>30</v>
      </c>
      <c r="H31" s="1">
        <f t="shared" si="3"/>
        <v>0</v>
      </c>
      <c r="I31" s="1">
        <f t="shared" si="4"/>
        <v>30</v>
      </c>
    </row>
    <row r="32" spans="1:20" x14ac:dyDescent="0.25">
      <c r="A32" s="1" t="s">
        <v>1</v>
      </c>
      <c r="B32" s="1">
        <v>73</v>
      </c>
      <c r="C32" s="1">
        <v>631849400</v>
      </c>
      <c r="D32" s="1">
        <v>919942700</v>
      </c>
      <c r="E32" s="1">
        <f t="shared" si="0"/>
        <v>-288093300</v>
      </c>
      <c r="F32" s="1">
        <f t="shared" si="1"/>
        <v>288093300</v>
      </c>
      <c r="G32" s="1">
        <f t="shared" si="2"/>
        <v>31</v>
      </c>
      <c r="H32" s="1">
        <f t="shared" si="3"/>
        <v>0</v>
      </c>
      <c r="I32" s="1">
        <f t="shared" si="4"/>
        <v>31</v>
      </c>
    </row>
    <row r="33" spans="1:9" x14ac:dyDescent="0.25">
      <c r="A33" s="1" t="s">
        <v>1</v>
      </c>
      <c r="B33" s="1">
        <v>98</v>
      </c>
      <c r="C33" s="1">
        <v>624550701</v>
      </c>
      <c r="D33" s="1">
        <v>912748700</v>
      </c>
      <c r="E33" s="1">
        <f t="shared" si="0"/>
        <v>-288197999</v>
      </c>
      <c r="F33" s="1">
        <f t="shared" si="1"/>
        <v>288197999</v>
      </c>
      <c r="G33" s="1">
        <f t="shared" si="2"/>
        <v>32</v>
      </c>
      <c r="H33" s="1">
        <f t="shared" si="3"/>
        <v>0</v>
      </c>
      <c r="I33" s="1">
        <f t="shared" si="4"/>
        <v>32</v>
      </c>
    </row>
    <row r="34" spans="1:9" x14ac:dyDescent="0.25">
      <c r="A34" s="1" t="s">
        <v>1</v>
      </c>
      <c r="B34" s="1">
        <v>82</v>
      </c>
      <c r="C34" s="1">
        <v>637168201</v>
      </c>
      <c r="D34" s="1">
        <v>926041900</v>
      </c>
      <c r="E34" s="1">
        <f t="shared" ref="E34:E65" si="5">C34-D34</f>
        <v>-288873699</v>
      </c>
      <c r="F34" s="1">
        <f t="shared" ref="F34:F65" si="6">ABS(E34)</f>
        <v>288873699</v>
      </c>
      <c r="G34" s="1">
        <f t="shared" ref="G34:G65" si="7">_xlfn.RANK.AVG(F34,$F$2:$F$101,1)</f>
        <v>33</v>
      </c>
      <c r="H34" s="1">
        <f t="shared" si="3"/>
        <v>0</v>
      </c>
      <c r="I34" s="1">
        <f t="shared" si="4"/>
        <v>33</v>
      </c>
    </row>
    <row r="35" spans="1:9" x14ac:dyDescent="0.25">
      <c r="A35" s="1" t="s">
        <v>1</v>
      </c>
      <c r="B35" s="1">
        <v>66</v>
      </c>
      <c r="C35" s="1">
        <v>645161100</v>
      </c>
      <c r="D35" s="1">
        <v>934100000</v>
      </c>
      <c r="E35" s="1">
        <f t="shared" si="5"/>
        <v>-288938900</v>
      </c>
      <c r="F35" s="1">
        <f t="shared" si="6"/>
        <v>288938900</v>
      </c>
      <c r="G35" s="1">
        <f t="shared" si="7"/>
        <v>34</v>
      </c>
      <c r="H35" s="1">
        <f t="shared" si="3"/>
        <v>0</v>
      </c>
      <c r="I35" s="1">
        <f t="shared" si="4"/>
        <v>34</v>
      </c>
    </row>
    <row r="36" spans="1:9" x14ac:dyDescent="0.25">
      <c r="A36" s="1" t="s">
        <v>1</v>
      </c>
      <c r="B36" s="1">
        <v>90</v>
      </c>
      <c r="C36" s="1">
        <v>624536200</v>
      </c>
      <c r="D36" s="1">
        <v>913859200</v>
      </c>
      <c r="E36" s="1">
        <f t="shared" si="5"/>
        <v>-289323000</v>
      </c>
      <c r="F36" s="1">
        <f t="shared" si="6"/>
        <v>289323000</v>
      </c>
      <c r="G36" s="1">
        <f t="shared" si="7"/>
        <v>35</v>
      </c>
      <c r="H36" s="1">
        <f t="shared" si="3"/>
        <v>0</v>
      </c>
      <c r="I36" s="1">
        <f t="shared" si="4"/>
        <v>35</v>
      </c>
    </row>
    <row r="37" spans="1:9" x14ac:dyDescent="0.25">
      <c r="A37" s="1" t="s">
        <v>1</v>
      </c>
      <c r="B37" s="1">
        <v>94</v>
      </c>
      <c r="C37" s="1">
        <v>623861200</v>
      </c>
      <c r="D37" s="1">
        <v>913331100</v>
      </c>
      <c r="E37" s="1">
        <f t="shared" si="5"/>
        <v>-289469900</v>
      </c>
      <c r="F37" s="1">
        <f t="shared" si="6"/>
        <v>289469900</v>
      </c>
      <c r="G37" s="1">
        <f t="shared" si="7"/>
        <v>36</v>
      </c>
      <c r="H37" s="1">
        <f t="shared" si="3"/>
        <v>0</v>
      </c>
      <c r="I37" s="1">
        <f t="shared" si="4"/>
        <v>36</v>
      </c>
    </row>
    <row r="38" spans="1:9" x14ac:dyDescent="0.25">
      <c r="A38" s="1" t="s">
        <v>1</v>
      </c>
      <c r="B38" s="1">
        <v>47</v>
      </c>
      <c r="C38" s="1">
        <v>628739400</v>
      </c>
      <c r="D38" s="1">
        <v>918455400</v>
      </c>
      <c r="E38" s="1">
        <f t="shared" si="5"/>
        <v>-289716000</v>
      </c>
      <c r="F38" s="1">
        <f t="shared" si="6"/>
        <v>289716000</v>
      </c>
      <c r="G38" s="1">
        <f t="shared" si="7"/>
        <v>37</v>
      </c>
      <c r="H38" s="1">
        <f t="shared" si="3"/>
        <v>0</v>
      </c>
      <c r="I38" s="1">
        <f t="shared" si="4"/>
        <v>37</v>
      </c>
    </row>
    <row r="39" spans="1:9" x14ac:dyDescent="0.25">
      <c r="A39" s="1" t="s">
        <v>1</v>
      </c>
      <c r="B39" s="1">
        <v>39</v>
      </c>
      <c r="C39" s="1">
        <v>629050200</v>
      </c>
      <c r="D39" s="1">
        <v>918779800</v>
      </c>
      <c r="E39" s="1">
        <f t="shared" si="5"/>
        <v>-289729600</v>
      </c>
      <c r="F39" s="1">
        <f t="shared" si="6"/>
        <v>289729600</v>
      </c>
      <c r="G39" s="1">
        <f t="shared" si="7"/>
        <v>38</v>
      </c>
      <c r="H39" s="1">
        <f t="shared" si="3"/>
        <v>0</v>
      </c>
      <c r="I39" s="1">
        <f t="shared" si="4"/>
        <v>38</v>
      </c>
    </row>
    <row r="40" spans="1:9" x14ac:dyDescent="0.25">
      <c r="A40" s="1" t="s">
        <v>1</v>
      </c>
      <c r="B40" s="1">
        <v>50</v>
      </c>
      <c r="C40" s="1">
        <v>629619400</v>
      </c>
      <c r="D40" s="1">
        <v>919417400</v>
      </c>
      <c r="E40" s="1">
        <f t="shared" si="5"/>
        <v>-289798000</v>
      </c>
      <c r="F40" s="1">
        <f t="shared" si="6"/>
        <v>289798000</v>
      </c>
      <c r="G40" s="1">
        <f t="shared" si="7"/>
        <v>39</v>
      </c>
      <c r="H40" s="1">
        <f t="shared" si="3"/>
        <v>0</v>
      </c>
      <c r="I40" s="1">
        <f t="shared" si="4"/>
        <v>39</v>
      </c>
    </row>
    <row r="41" spans="1:9" x14ac:dyDescent="0.25">
      <c r="A41" s="1" t="s">
        <v>1</v>
      </c>
      <c r="B41" s="1">
        <v>32</v>
      </c>
      <c r="C41" s="1">
        <v>629708800</v>
      </c>
      <c r="D41" s="1">
        <v>920512100</v>
      </c>
      <c r="E41" s="1">
        <f t="shared" si="5"/>
        <v>-290803300</v>
      </c>
      <c r="F41" s="1">
        <f t="shared" si="6"/>
        <v>290803300</v>
      </c>
      <c r="G41" s="1">
        <f t="shared" si="7"/>
        <v>40</v>
      </c>
      <c r="H41" s="1">
        <f t="shared" si="3"/>
        <v>0</v>
      </c>
      <c r="I41" s="1">
        <f t="shared" si="4"/>
        <v>40</v>
      </c>
    </row>
    <row r="42" spans="1:9" x14ac:dyDescent="0.25">
      <c r="A42" s="1" t="s">
        <v>1</v>
      </c>
      <c r="B42" s="1">
        <v>31</v>
      </c>
      <c r="C42" s="1">
        <v>627743899</v>
      </c>
      <c r="D42" s="1">
        <v>918663500</v>
      </c>
      <c r="E42" s="1">
        <f t="shared" si="5"/>
        <v>-290919601</v>
      </c>
      <c r="F42" s="1">
        <f t="shared" si="6"/>
        <v>290919601</v>
      </c>
      <c r="G42" s="1">
        <f t="shared" si="7"/>
        <v>41</v>
      </c>
      <c r="H42" s="1">
        <f t="shared" si="3"/>
        <v>0</v>
      </c>
      <c r="I42" s="1">
        <f t="shared" si="4"/>
        <v>41</v>
      </c>
    </row>
    <row r="43" spans="1:9" x14ac:dyDescent="0.25">
      <c r="A43" s="1" t="s">
        <v>1</v>
      </c>
      <c r="B43" s="1">
        <v>67</v>
      </c>
      <c r="C43" s="1">
        <v>626453100</v>
      </c>
      <c r="D43" s="1">
        <v>917615300</v>
      </c>
      <c r="E43" s="1">
        <f t="shared" si="5"/>
        <v>-291162200</v>
      </c>
      <c r="F43" s="1">
        <f t="shared" si="6"/>
        <v>291162200</v>
      </c>
      <c r="G43" s="1">
        <f t="shared" si="7"/>
        <v>42</v>
      </c>
      <c r="H43" s="1">
        <f t="shared" si="3"/>
        <v>0</v>
      </c>
      <c r="I43" s="1">
        <f t="shared" si="4"/>
        <v>42</v>
      </c>
    </row>
    <row r="44" spans="1:9" x14ac:dyDescent="0.25">
      <c r="A44" s="1" t="s">
        <v>1</v>
      </c>
      <c r="B44" s="1">
        <v>3</v>
      </c>
      <c r="C44" s="1">
        <v>622264300</v>
      </c>
      <c r="D44" s="1">
        <v>914034700</v>
      </c>
      <c r="E44" s="1">
        <f t="shared" si="5"/>
        <v>-291770400</v>
      </c>
      <c r="F44" s="1">
        <f t="shared" si="6"/>
        <v>291770400</v>
      </c>
      <c r="G44" s="1">
        <f t="shared" si="7"/>
        <v>43</v>
      </c>
      <c r="H44" s="1">
        <f t="shared" si="3"/>
        <v>0</v>
      </c>
      <c r="I44" s="1">
        <f t="shared" si="4"/>
        <v>43</v>
      </c>
    </row>
    <row r="45" spans="1:9" x14ac:dyDescent="0.25">
      <c r="A45" s="1" t="s">
        <v>1</v>
      </c>
      <c r="B45" s="1">
        <v>62</v>
      </c>
      <c r="C45" s="1">
        <v>625132700</v>
      </c>
      <c r="D45" s="1">
        <v>917010900</v>
      </c>
      <c r="E45" s="1">
        <f t="shared" si="5"/>
        <v>-291878200</v>
      </c>
      <c r="F45" s="1">
        <f t="shared" si="6"/>
        <v>291878200</v>
      </c>
      <c r="G45" s="1">
        <f t="shared" si="7"/>
        <v>44</v>
      </c>
      <c r="H45" s="1">
        <f t="shared" si="3"/>
        <v>0</v>
      </c>
      <c r="I45" s="1">
        <f t="shared" si="4"/>
        <v>44</v>
      </c>
    </row>
    <row r="46" spans="1:9" x14ac:dyDescent="0.25">
      <c r="A46" s="1" t="s">
        <v>1</v>
      </c>
      <c r="B46" s="1">
        <v>63</v>
      </c>
      <c r="C46" s="1">
        <v>628389300</v>
      </c>
      <c r="D46" s="1">
        <v>920969300</v>
      </c>
      <c r="E46" s="1">
        <f t="shared" si="5"/>
        <v>-292580000</v>
      </c>
      <c r="F46" s="1">
        <f t="shared" si="6"/>
        <v>292580000</v>
      </c>
      <c r="G46" s="1">
        <f t="shared" si="7"/>
        <v>45</v>
      </c>
      <c r="H46" s="1">
        <f t="shared" si="3"/>
        <v>0</v>
      </c>
      <c r="I46" s="1">
        <f t="shared" si="4"/>
        <v>45</v>
      </c>
    </row>
    <row r="47" spans="1:9" x14ac:dyDescent="0.25">
      <c r="A47" s="1" t="s">
        <v>1</v>
      </c>
      <c r="B47" s="1">
        <v>97</v>
      </c>
      <c r="C47" s="1">
        <v>621453799</v>
      </c>
      <c r="D47" s="1">
        <v>914113800</v>
      </c>
      <c r="E47" s="1">
        <f t="shared" si="5"/>
        <v>-292660001</v>
      </c>
      <c r="F47" s="1">
        <f t="shared" si="6"/>
        <v>292660001</v>
      </c>
      <c r="G47" s="1">
        <f t="shared" si="7"/>
        <v>46</v>
      </c>
      <c r="H47" s="1">
        <f t="shared" si="3"/>
        <v>0</v>
      </c>
      <c r="I47" s="1">
        <f t="shared" si="4"/>
        <v>46</v>
      </c>
    </row>
    <row r="48" spans="1:9" x14ac:dyDescent="0.25">
      <c r="A48" s="1" t="s">
        <v>1</v>
      </c>
      <c r="B48" s="1">
        <v>87</v>
      </c>
      <c r="C48" s="1">
        <v>632754200</v>
      </c>
      <c r="D48" s="1">
        <v>925946100</v>
      </c>
      <c r="E48" s="1">
        <f t="shared" si="5"/>
        <v>-293191900</v>
      </c>
      <c r="F48" s="1">
        <f t="shared" si="6"/>
        <v>293191900</v>
      </c>
      <c r="G48" s="1">
        <f t="shared" si="7"/>
        <v>47</v>
      </c>
      <c r="H48" s="1">
        <f t="shared" si="3"/>
        <v>0</v>
      </c>
      <c r="I48" s="1">
        <f t="shared" si="4"/>
        <v>47</v>
      </c>
    </row>
    <row r="49" spans="1:9" x14ac:dyDescent="0.25">
      <c r="A49" s="1" t="s">
        <v>1</v>
      </c>
      <c r="B49" s="1">
        <v>37</v>
      </c>
      <c r="C49" s="1">
        <v>627134101</v>
      </c>
      <c r="D49" s="1">
        <v>920467000</v>
      </c>
      <c r="E49" s="1">
        <f t="shared" si="5"/>
        <v>-293332899</v>
      </c>
      <c r="F49" s="1">
        <f t="shared" si="6"/>
        <v>293332899</v>
      </c>
      <c r="G49" s="1">
        <f t="shared" si="7"/>
        <v>48</v>
      </c>
      <c r="H49" s="1">
        <f t="shared" si="3"/>
        <v>0</v>
      </c>
      <c r="I49" s="1">
        <f t="shared" si="4"/>
        <v>48</v>
      </c>
    </row>
    <row r="50" spans="1:9" x14ac:dyDescent="0.25">
      <c r="A50" s="1" t="s">
        <v>1</v>
      </c>
      <c r="B50" s="1">
        <v>72</v>
      </c>
      <c r="C50" s="1">
        <v>630514701</v>
      </c>
      <c r="D50" s="1">
        <v>924219800</v>
      </c>
      <c r="E50" s="1">
        <f t="shared" si="5"/>
        <v>-293705099</v>
      </c>
      <c r="F50" s="1">
        <f t="shared" si="6"/>
        <v>293705099</v>
      </c>
      <c r="G50" s="1">
        <f t="shared" si="7"/>
        <v>49</v>
      </c>
      <c r="H50" s="1">
        <f t="shared" si="3"/>
        <v>0</v>
      </c>
      <c r="I50" s="1">
        <f t="shared" si="4"/>
        <v>49</v>
      </c>
    </row>
    <row r="51" spans="1:9" x14ac:dyDescent="0.25">
      <c r="A51" s="1" t="s">
        <v>1</v>
      </c>
      <c r="B51" s="1">
        <v>59</v>
      </c>
      <c r="C51" s="1">
        <v>622667401</v>
      </c>
      <c r="D51" s="1">
        <v>917294100</v>
      </c>
      <c r="E51" s="1">
        <f t="shared" si="5"/>
        <v>-294626699</v>
      </c>
      <c r="F51" s="1">
        <f t="shared" si="6"/>
        <v>294626699</v>
      </c>
      <c r="G51" s="1">
        <f t="shared" si="7"/>
        <v>50</v>
      </c>
      <c r="H51" s="1">
        <f t="shared" si="3"/>
        <v>0</v>
      </c>
      <c r="I51" s="1">
        <f t="shared" si="4"/>
        <v>50</v>
      </c>
    </row>
    <row r="52" spans="1:9" x14ac:dyDescent="0.25">
      <c r="A52" s="1" t="s">
        <v>1</v>
      </c>
      <c r="B52" s="1">
        <v>70</v>
      </c>
      <c r="C52" s="1">
        <v>623116100</v>
      </c>
      <c r="D52" s="1">
        <v>918920500</v>
      </c>
      <c r="E52" s="1">
        <f t="shared" si="5"/>
        <v>-295804400</v>
      </c>
      <c r="F52" s="1">
        <f t="shared" si="6"/>
        <v>295804400</v>
      </c>
      <c r="G52" s="1">
        <f t="shared" si="7"/>
        <v>51</v>
      </c>
      <c r="H52" s="1">
        <f t="shared" si="3"/>
        <v>0</v>
      </c>
      <c r="I52" s="1">
        <f t="shared" si="4"/>
        <v>51</v>
      </c>
    </row>
    <row r="53" spans="1:9" x14ac:dyDescent="0.25">
      <c r="A53" s="1" t="s">
        <v>1</v>
      </c>
      <c r="B53" s="1">
        <v>45</v>
      </c>
      <c r="C53" s="1">
        <v>623753300</v>
      </c>
      <c r="D53" s="1">
        <v>920264300</v>
      </c>
      <c r="E53" s="1">
        <f t="shared" si="5"/>
        <v>-296511000</v>
      </c>
      <c r="F53" s="1">
        <f t="shared" si="6"/>
        <v>296511000</v>
      </c>
      <c r="G53" s="1">
        <f t="shared" si="7"/>
        <v>52</v>
      </c>
      <c r="H53" s="1">
        <f t="shared" si="3"/>
        <v>0</v>
      </c>
      <c r="I53" s="1">
        <f t="shared" si="4"/>
        <v>52</v>
      </c>
    </row>
    <row r="54" spans="1:9" x14ac:dyDescent="0.25">
      <c r="A54" s="1" t="s">
        <v>1</v>
      </c>
      <c r="B54" s="1">
        <v>20</v>
      </c>
      <c r="C54" s="1">
        <v>627460301</v>
      </c>
      <c r="D54" s="1">
        <v>924025600</v>
      </c>
      <c r="E54" s="1">
        <f t="shared" si="5"/>
        <v>-296565299</v>
      </c>
      <c r="F54" s="1">
        <f t="shared" si="6"/>
        <v>296565299</v>
      </c>
      <c r="G54" s="1">
        <f t="shared" si="7"/>
        <v>53</v>
      </c>
      <c r="H54" s="1">
        <f t="shared" si="3"/>
        <v>0</v>
      </c>
      <c r="I54" s="1">
        <f t="shared" si="4"/>
        <v>53</v>
      </c>
    </row>
    <row r="55" spans="1:9" x14ac:dyDescent="0.25">
      <c r="A55" s="1" t="s">
        <v>1</v>
      </c>
      <c r="B55" s="1">
        <v>95</v>
      </c>
      <c r="C55" s="1">
        <v>620992101</v>
      </c>
      <c r="D55" s="1">
        <v>917720000</v>
      </c>
      <c r="E55" s="1">
        <f t="shared" si="5"/>
        <v>-296727899</v>
      </c>
      <c r="F55" s="1">
        <f t="shared" si="6"/>
        <v>296727899</v>
      </c>
      <c r="G55" s="1">
        <f t="shared" si="7"/>
        <v>54</v>
      </c>
      <c r="H55" s="1">
        <f t="shared" si="3"/>
        <v>0</v>
      </c>
      <c r="I55" s="1">
        <f t="shared" si="4"/>
        <v>54</v>
      </c>
    </row>
    <row r="56" spans="1:9" x14ac:dyDescent="0.25">
      <c r="A56" s="1" t="s">
        <v>1</v>
      </c>
      <c r="B56" s="1">
        <v>75</v>
      </c>
      <c r="C56" s="1">
        <v>623144000</v>
      </c>
      <c r="D56" s="1">
        <v>920362700</v>
      </c>
      <c r="E56" s="1">
        <f t="shared" si="5"/>
        <v>-297218700</v>
      </c>
      <c r="F56" s="1">
        <f t="shared" si="6"/>
        <v>297218700</v>
      </c>
      <c r="G56" s="1">
        <f t="shared" si="7"/>
        <v>55</v>
      </c>
      <c r="H56" s="1">
        <f t="shared" si="3"/>
        <v>0</v>
      </c>
      <c r="I56" s="1">
        <f t="shared" si="4"/>
        <v>55</v>
      </c>
    </row>
    <row r="57" spans="1:9" x14ac:dyDescent="0.25">
      <c r="A57" s="1" t="s">
        <v>1</v>
      </c>
      <c r="B57" s="1">
        <v>65</v>
      </c>
      <c r="C57" s="1">
        <v>643804301</v>
      </c>
      <c r="D57" s="1">
        <v>941126800</v>
      </c>
      <c r="E57" s="1">
        <f t="shared" si="5"/>
        <v>-297322499</v>
      </c>
      <c r="F57" s="1">
        <f t="shared" si="6"/>
        <v>297322499</v>
      </c>
      <c r="G57" s="1">
        <f t="shared" si="7"/>
        <v>56</v>
      </c>
      <c r="H57" s="1">
        <f t="shared" si="3"/>
        <v>0</v>
      </c>
      <c r="I57" s="1">
        <f t="shared" si="4"/>
        <v>56</v>
      </c>
    </row>
    <row r="58" spans="1:9" x14ac:dyDescent="0.25">
      <c r="A58" s="1" t="s">
        <v>1</v>
      </c>
      <c r="B58" s="1">
        <v>71</v>
      </c>
      <c r="C58" s="1">
        <v>625582600</v>
      </c>
      <c r="D58" s="1">
        <v>923389300</v>
      </c>
      <c r="E58" s="1">
        <f t="shared" si="5"/>
        <v>-297806700</v>
      </c>
      <c r="F58" s="1">
        <f t="shared" si="6"/>
        <v>297806700</v>
      </c>
      <c r="G58" s="1">
        <f t="shared" si="7"/>
        <v>57</v>
      </c>
      <c r="H58" s="1">
        <f t="shared" si="3"/>
        <v>0</v>
      </c>
      <c r="I58" s="1">
        <f t="shared" si="4"/>
        <v>57</v>
      </c>
    </row>
    <row r="59" spans="1:9" x14ac:dyDescent="0.25">
      <c r="A59" s="1" t="s">
        <v>1</v>
      </c>
      <c r="B59" s="1">
        <v>5</v>
      </c>
      <c r="C59" s="1">
        <v>615429000</v>
      </c>
      <c r="D59" s="1">
        <v>913287300</v>
      </c>
      <c r="E59" s="1">
        <f t="shared" si="5"/>
        <v>-297858300</v>
      </c>
      <c r="F59" s="1">
        <f t="shared" si="6"/>
        <v>297858300</v>
      </c>
      <c r="G59" s="1">
        <f t="shared" si="7"/>
        <v>58</v>
      </c>
      <c r="H59" s="1">
        <f t="shared" si="3"/>
        <v>0</v>
      </c>
      <c r="I59" s="1">
        <f t="shared" si="4"/>
        <v>58</v>
      </c>
    </row>
    <row r="60" spans="1:9" x14ac:dyDescent="0.25">
      <c r="A60" s="1" t="s">
        <v>1</v>
      </c>
      <c r="B60" s="1">
        <v>56</v>
      </c>
      <c r="C60" s="1">
        <v>619663600</v>
      </c>
      <c r="D60" s="1">
        <v>917965900</v>
      </c>
      <c r="E60" s="1">
        <f t="shared" si="5"/>
        <v>-298302300</v>
      </c>
      <c r="F60" s="1">
        <f t="shared" si="6"/>
        <v>298302300</v>
      </c>
      <c r="G60" s="1">
        <f t="shared" si="7"/>
        <v>59</v>
      </c>
      <c r="H60" s="1">
        <f t="shared" si="3"/>
        <v>0</v>
      </c>
      <c r="I60" s="1">
        <f t="shared" si="4"/>
        <v>59</v>
      </c>
    </row>
    <row r="61" spans="1:9" x14ac:dyDescent="0.25">
      <c r="A61" s="1" t="s">
        <v>1</v>
      </c>
      <c r="B61" s="1">
        <v>44</v>
      </c>
      <c r="C61" s="1">
        <v>617794500</v>
      </c>
      <c r="D61" s="1">
        <v>916113300</v>
      </c>
      <c r="E61" s="1">
        <f t="shared" si="5"/>
        <v>-298318800</v>
      </c>
      <c r="F61" s="1">
        <f t="shared" si="6"/>
        <v>298318800</v>
      </c>
      <c r="G61" s="1">
        <f t="shared" si="7"/>
        <v>60</v>
      </c>
      <c r="H61" s="1">
        <f t="shared" si="3"/>
        <v>0</v>
      </c>
      <c r="I61" s="1">
        <f t="shared" si="4"/>
        <v>60</v>
      </c>
    </row>
    <row r="62" spans="1:9" x14ac:dyDescent="0.25">
      <c r="A62" s="1" t="s">
        <v>1</v>
      </c>
      <c r="B62" s="1">
        <v>43</v>
      </c>
      <c r="C62" s="1">
        <v>620980200</v>
      </c>
      <c r="D62" s="1">
        <v>919573900</v>
      </c>
      <c r="E62" s="1">
        <f t="shared" si="5"/>
        <v>-298593700</v>
      </c>
      <c r="F62" s="1">
        <f t="shared" si="6"/>
        <v>298593700</v>
      </c>
      <c r="G62" s="1">
        <f t="shared" si="7"/>
        <v>61</v>
      </c>
      <c r="H62" s="1">
        <f t="shared" si="3"/>
        <v>0</v>
      </c>
      <c r="I62" s="1">
        <f t="shared" si="4"/>
        <v>61</v>
      </c>
    </row>
    <row r="63" spans="1:9" x14ac:dyDescent="0.25">
      <c r="A63" s="1" t="s">
        <v>1</v>
      </c>
      <c r="B63" s="1">
        <v>13</v>
      </c>
      <c r="C63" s="1">
        <v>622186000</v>
      </c>
      <c r="D63" s="1">
        <v>920939600</v>
      </c>
      <c r="E63" s="1">
        <f t="shared" si="5"/>
        <v>-298753600</v>
      </c>
      <c r="F63" s="1">
        <f t="shared" si="6"/>
        <v>298753600</v>
      </c>
      <c r="G63" s="1">
        <f t="shared" si="7"/>
        <v>62</v>
      </c>
      <c r="H63" s="1">
        <f t="shared" si="3"/>
        <v>0</v>
      </c>
      <c r="I63" s="1">
        <f t="shared" si="4"/>
        <v>62</v>
      </c>
    </row>
    <row r="64" spans="1:9" x14ac:dyDescent="0.25">
      <c r="A64" s="1" t="s">
        <v>1</v>
      </c>
      <c r="B64" s="1">
        <v>22</v>
      </c>
      <c r="C64" s="1">
        <v>618705701</v>
      </c>
      <c r="D64" s="1">
        <v>917549300</v>
      </c>
      <c r="E64" s="1">
        <f t="shared" si="5"/>
        <v>-298843599</v>
      </c>
      <c r="F64" s="1">
        <f t="shared" si="6"/>
        <v>298843599</v>
      </c>
      <c r="G64" s="1">
        <f t="shared" si="7"/>
        <v>63</v>
      </c>
      <c r="H64" s="1">
        <f t="shared" si="3"/>
        <v>0</v>
      </c>
      <c r="I64" s="1">
        <f t="shared" si="4"/>
        <v>63</v>
      </c>
    </row>
    <row r="65" spans="1:9" x14ac:dyDescent="0.25">
      <c r="A65" s="1" t="s">
        <v>1</v>
      </c>
      <c r="B65" s="1">
        <v>41</v>
      </c>
      <c r="C65" s="1">
        <v>618579000</v>
      </c>
      <c r="D65" s="1">
        <v>917754200</v>
      </c>
      <c r="E65" s="1">
        <f t="shared" si="5"/>
        <v>-299175200</v>
      </c>
      <c r="F65" s="1">
        <f t="shared" si="6"/>
        <v>299175200</v>
      </c>
      <c r="G65" s="1">
        <f t="shared" si="7"/>
        <v>64</v>
      </c>
      <c r="H65" s="1">
        <f t="shared" si="3"/>
        <v>0</v>
      </c>
      <c r="I65" s="1">
        <f t="shared" si="4"/>
        <v>64</v>
      </c>
    </row>
    <row r="66" spans="1:9" x14ac:dyDescent="0.25">
      <c r="A66" s="1" t="s">
        <v>1</v>
      </c>
      <c r="B66" s="1">
        <v>21</v>
      </c>
      <c r="C66" s="1">
        <v>618258200</v>
      </c>
      <c r="D66" s="1">
        <v>917474700</v>
      </c>
      <c r="E66" s="1">
        <f t="shared" ref="E66:E97" si="8">C66-D66</f>
        <v>-299216500</v>
      </c>
      <c r="F66" s="1">
        <f t="shared" ref="F66:F97" si="9">ABS(E66)</f>
        <v>299216500</v>
      </c>
      <c r="G66" s="1">
        <f t="shared" ref="G66:G97" si="10">_xlfn.RANK.AVG(F66,$F$2:$F$101,1)</f>
        <v>65</v>
      </c>
      <c r="H66" s="1">
        <f t="shared" si="3"/>
        <v>0</v>
      </c>
      <c r="I66" s="1">
        <f t="shared" si="4"/>
        <v>65</v>
      </c>
    </row>
    <row r="67" spans="1:9" x14ac:dyDescent="0.25">
      <c r="A67" s="1" t="s">
        <v>1</v>
      </c>
      <c r="B67" s="1">
        <v>19</v>
      </c>
      <c r="C67" s="1">
        <v>618607499</v>
      </c>
      <c r="D67" s="1">
        <v>918469200</v>
      </c>
      <c r="E67" s="1">
        <f t="shared" si="8"/>
        <v>-299861701</v>
      </c>
      <c r="F67" s="1">
        <f t="shared" si="9"/>
        <v>299861701</v>
      </c>
      <c r="G67" s="1">
        <f t="shared" si="10"/>
        <v>66</v>
      </c>
      <c r="H67" s="1">
        <f t="shared" ref="H67:H101" si="11">IF(E67&gt;0,G67,0)</f>
        <v>0</v>
      </c>
      <c r="I67" s="1">
        <f t="shared" ref="I67:I101" si="12">IF(E67&lt;0,G67,0)</f>
        <v>66</v>
      </c>
    </row>
    <row r="68" spans="1:9" x14ac:dyDescent="0.25">
      <c r="A68" s="1" t="s">
        <v>1</v>
      </c>
      <c r="B68" s="1">
        <v>40</v>
      </c>
      <c r="C68" s="1">
        <v>619367899</v>
      </c>
      <c r="D68" s="1">
        <v>919552100</v>
      </c>
      <c r="E68" s="1">
        <f t="shared" si="8"/>
        <v>-300184201</v>
      </c>
      <c r="F68" s="1">
        <f t="shared" si="9"/>
        <v>300184201</v>
      </c>
      <c r="G68" s="1">
        <f t="shared" si="10"/>
        <v>67</v>
      </c>
      <c r="H68" s="1">
        <f t="shared" si="11"/>
        <v>0</v>
      </c>
      <c r="I68" s="1">
        <f t="shared" si="12"/>
        <v>67</v>
      </c>
    </row>
    <row r="69" spans="1:9" x14ac:dyDescent="0.25">
      <c r="A69" s="1" t="s">
        <v>1</v>
      </c>
      <c r="B69" s="1">
        <v>64</v>
      </c>
      <c r="C69" s="1">
        <v>616638600</v>
      </c>
      <c r="D69" s="1">
        <v>917057400</v>
      </c>
      <c r="E69" s="1">
        <f t="shared" si="8"/>
        <v>-300418800</v>
      </c>
      <c r="F69" s="1">
        <f t="shared" si="9"/>
        <v>300418800</v>
      </c>
      <c r="G69" s="1">
        <f t="shared" si="10"/>
        <v>68</v>
      </c>
      <c r="H69" s="1">
        <f t="shared" si="11"/>
        <v>0</v>
      </c>
      <c r="I69" s="1">
        <f t="shared" si="12"/>
        <v>68</v>
      </c>
    </row>
    <row r="70" spans="1:9" x14ac:dyDescent="0.25">
      <c r="A70" s="1" t="s">
        <v>1</v>
      </c>
      <c r="B70" s="1">
        <v>34</v>
      </c>
      <c r="C70" s="1">
        <v>617443599</v>
      </c>
      <c r="D70" s="1">
        <v>917926700</v>
      </c>
      <c r="E70" s="1">
        <f t="shared" si="8"/>
        <v>-300483101</v>
      </c>
      <c r="F70" s="1">
        <f t="shared" si="9"/>
        <v>300483101</v>
      </c>
      <c r="G70" s="1">
        <f t="shared" si="10"/>
        <v>69</v>
      </c>
      <c r="H70" s="1">
        <f t="shared" si="11"/>
        <v>0</v>
      </c>
      <c r="I70" s="1">
        <f t="shared" si="12"/>
        <v>69</v>
      </c>
    </row>
    <row r="71" spans="1:9" x14ac:dyDescent="0.25">
      <c r="A71" s="1" t="s">
        <v>1</v>
      </c>
      <c r="B71" s="1">
        <v>57</v>
      </c>
      <c r="C71" s="1">
        <v>616625599</v>
      </c>
      <c r="D71" s="1">
        <v>917355400</v>
      </c>
      <c r="E71" s="1">
        <f t="shared" si="8"/>
        <v>-300729801</v>
      </c>
      <c r="F71" s="1">
        <f t="shared" si="9"/>
        <v>300729801</v>
      </c>
      <c r="G71" s="1">
        <f t="shared" si="10"/>
        <v>70</v>
      </c>
      <c r="H71" s="1">
        <f t="shared" si="11"/>
        <v>0</v>
      </c>
      <c r="I71" s="1">
        <f t="shared" si="12"/>
        <v>70</v>
      </c>
    </row>
    <row r="72" spans="1:9" x14ac:dyDescent="0.25">
      <c r="A72" s="1" t="s">
        <v>1</v>
      </c>
      <c r="B72" s="1">
        <v>29</v>
      </c>
      <c r="C72" s="1">
        <v>620792800</v>
      </c>
      <c r="D72" s="1">
        <v>921610500</v>
      </c>
      <c r="E72" s="1">
        <f t="shared" si="8"/>
        <v>-300817700</v>
      </c>
      <c r="F72" s="1">
        <f t="shared" si="9"/>
        <v>300817700</v>
      </c>
      <c r="G72" s="1">
        <f t="shared" si="10"/>
        <v>71</v>
      </c>
      <c r="H72" s="1">
        <f t="shared" si="11"/>
        <v>0</v>
      </c>
      <c r="I72" s="1">
        <f t="shared" si="12"/>
        <v>71</v>
      </c>
    </row>
    <row r="73" spans="1:9" x14ac:dyDescent="0.25">
      <c r="A73" s="1" t="s">
        <v>1</v>
      </c>
      <c r="B73" s="1">
        <v>2</v>
      </c>
      <c r="C73" s="1">
        <v>623618299</v>
      </c>
      <c r="D73" s="1">
        <v>924684400</v>
      </c>
      <c r="E73" s="1">
        <f t="shared" si="8"/>
        <v>-301066101</v>
      </c>
      <c r="F73" s="1">
        <f t="shared" si="9"/>
        <v>301066101</v>
      </c>
      <c r="G73" s="1">
        <f t="shared" si="10"/>
        <v>72</v>
      </c>
      <c r="H73" s="1">
        <f t="shared" si="11"/>
        <v>0</v>
      </c>
      <c r="I73" s="1">
        <f t="shared" si="12"/>
        <v>72</v>
      </c>
    </row>
    <row r="74" spans="1:9" x14ac:dyDescent="0.25">
      <c r="A74" s="1" t="s">
        <v>1</v>
      </c>
      <c r="B74" s="1">
        <v>42</v>
      </c>
      <c r="C74" s="1">
        <v>617482900</v>
      </c>
      <c r="D74" s="1">
        <v>918933200</v>
      </c>
      <c r="E74" s="1">
        <f t="shared" si="8"/>
        <v>-301450300</v>
      </c>
      <c r="F74" s="1">
        <f t="shared" si="9"/>
        <v>301450300</v>
      </c>
      <c r="G74" s="1">
        <f t="shared" si="10"/>
        <v>73</v>
      </c>
      <c r="H74" s="1">
        <f t="shared" si="11"/>
        <v>0</v>
      </c>
      <c r="I74" s="1">
        <f t="shared" si="12"/>
        <v>73</v>
      </c>
    </row>
    <row r="75" spans="1:9" x14ac:dyDescent="0.25">
      <c r="A75" s="1" t="s">
        <v>1</v>
      </c>
      <c r="B75" s="1">
        <v>15</v>
      </c>
      <c r="C75" s="1">
        <v>617801100</v>
      </c>
      <c r="D75" s="1">
        <v>919483600</v>
      </c>
      <c r="E75" s="1">
        <f t="shared" si="8"/>
        <v>-301682500</v>
      </c>
      <c r="F75" s="1">
        <f t="shared" si="9"/>
        <v>301682500</v>
      </c>
      <c r="G75" s="1">
        <f t="shared" si="10"/>
        <v>74</v>
      </c>
      <c r="H75" s="1">
        <f t="shared" si="11"/>
        <v>0</v>
      </c>
      <c r="I75" s="1">
        <f t="shared" si="12"/>
        <v>74</v>
      </c>
    </row>
    <row r="76" spans="1:9" x14ac:dyDescent="0.25">
      <c r="A76" s="1" t="s">
        <v>1</v>
      </c>
      <c r="B76" s="1">
        <v>18</v>
      </c>
      <c r="C76" s="1">
        <v>617095000</v>
      </c>
      <c r="D76" s="1">
        <v>920214900</v>
      </c>
      <c r="E76" s="1">
        <f t="shared" si="8"/>
        <v>-303119900</v>
      </c>
      <c r="F76" s="1">
        <f t="shared" si="9"/>
        <v>303119900</v>
      </c>
      <c r="G76" s="1">
        <f t="shared" si="10"/>
        <v>75</v>
      </c>
      <c r="H76" s="1">
        <f t="shared" si="11"/>
        <v>0</v>
      </c>
      <c r="I76" s="1">
        <f t="shared" si="12"/>
        <v>75</v>
      </c>
    </row>
    <row r="77" spans="1:9" x14ac:dyDescent="0.25">
      <c r="A77" s="1" t="s">
        <v>1</v>
      </c>
      <c r="B77" s="1">
        <v>24</v>
      </c>
      <c r="C77" s="1">
        <v>618678500</v>
      </c>
      <c r="D77" s="1">
        <v>922074700</v>
      </c>
      <c r="E77" s="1">
        <f t="shared" si="8"/>
        <v>-303396200</v>
      </c>
      <c r="F77" s="1">
        <f t="shared" si="9"/>
        <v>303396200</v>
      </c>
      <c r="G77" s="1">
        <f t="shared" si="10"/>
        <v>76</v>
      </c>
      <c r="H77" s="1">
        <f t="shared" si="11"/>
        <v>0</v>
      </c>
      <c r="I77" s="1">
        <f t="shared" si="12"/>
        <v>76</v>
      </c>
    </row>
    <row r="78" spans="1:9" x14ac:dyDescent="0.25">
      <c r="A78" s="1" t="s">
        <v>1</v>
      </c>
      <c r="B78" s="1">
        <v>8</v>
      </c>
      <c r="C78" s="1">
        <v>613828599</v>
      </c>
      <c r="D78" s="1">
        <v>917437600</v>
      </c>
      <c r="E78" s="1">
        <f t="shared" si="8"/>
        <v>-303609001</v>
      </c>
      <c r="F78" s="1">
        <f t="shared" si="9"/>
        <v>303609001</v>
      </c>
      <c r="G78" s="1">
        <f t="shared" si="10"/>
        <v>77</v>
      </c>
      <c r="H78" s="1">
        <f t="shared" si="11"/>
        <v>0</v>
      </c>
      <c r="I78" s="1">
        <f t="shared" si="12"/>
        <v>77</v>
      </c>
    </row>
    <row r="79" spans="1:9" x14ac:dyDescent="0.25">
      <c r="A79" s="1" t="s">
        <v>1</v>
      </c>
      <c r="B79" s="1">
        <v>35</v>
      </c>
      <c r="C79" s="1">
        <v>617849599</v>
      </c>
      <c r="D79" s="1">
        <v>921606000</v>
      </c>
      <c r="E79" s="1">
        <f t="shared" si="8"/>
        <v>-303756401</v>
      </c>
      <c r="F79" s="1">
        <f t="shared" si="9"/>
        <v>303756401</v>
      </c>
      <c r="G79" s="1">
        <f t="shared" si="10"/>
        <v>78</v>
      </c>
      <c r="H79" s="1">
        <f t="shared" si="11"/>
        <v>0</v>
      </c>
      <c r="I79" s="1">
        <f t="shared" si="12"/>
        <v>78</v>
      </c>
    </row>
    <row r="80" spans="1:9" x14ac:dyDescent="0.25">
      <c r="A80" s="1" t="s">
        <v>1</v>
      </c>
      <c r="B80" s="1">
        <v>4</v>
      </c>
      <c r="C80" s="1">
        <v>617245801</v>
      </c>
      <c r="D80" s="1">
        <v>921017200</v>
      </c>
      <c r="E80" s="1">
        <f t="shared" si="8"/>
        <v>-303771399</v>
      </c>
      <c r="F80" s="1">
        <f t="shared" si="9"/>
        <v>303771399</v>
      </c>
      <c r="G80" s="1">
        <f t="shared" si="10"/>
        <v>79</v>
      </c>
      <c r="H80" s="1">
        <f t="shared" si="11"/>
        <v>0</v>
      </c>
      <c r="I80" s="1">
        <f t="shared" si="12"/>
        <v>79</v>
      </c>
    </row>
    <row r="81" spans="1:9" x14ac:dyDescent="0.25">
      <c r="A81" s="1" t="s">
        <v>1</v>
      </c>
      <c r="B81" s="1">
        <v>17</v>
      </c>
      <c r="C81" s="1">
        <v>620660099</v>
      </c>
      <c r="D81" s="1">
        <v>924488500</v>
      </c>
      <c r="E81" s="1">
        <f t="shared" si="8"/>
        <v>-303828401</v>
      </c>
      <c r="F81" s="1">
        <f t="shared" si="9"/>
        <v>303828401</v>
      </c>
      <c r="G81" s="1">
        <f t="shared" si="10"/>
        <v>80</v>
      </c>
      <c r="H81" s="1">
        <f t="shared" si="11"/>
        <v>0</v>
      </c>
      <c r="I81" s="1">
        <f t="shared" si="12"/>
        <v>80</v>
      </c>
    </row>
    <row r="82" spans="1:9" x14ac:dyDescent="0.25">
      <c r="A82" s="1" t="s">
        <v>1</v>
      </c>
      <c r="B82" s="1">
        <v>33</v>
      </c>
      <c r="C82" s="1">
        <v>616343601</v>
      </c>
      <c r="D82" s="1">
        <v>920389900</v>
      </c>
      <c r="E82" s="1">
        <f t="shared" si="8"/>
        <v>-304046299</v>
      </c>
      <c r="F82" s="1">
        <f t="shared" si="9"/>
        <v>304046299</v>
      </c>
      <c r="G82" s="1">
        <f t="shared" si="10"/>
        <v>81</v>
      </c>
      <c r="H82" s="1">
        <f t="shared" si="11"/>
        <v>0</v>
      </c>
      <c r="I82" s="1">
        <f t="shared" si="12"/>
        <v>81</v>
      </c>
    </row>
    <row r="83" spans="1:9" x14ac:dyDescent="0.25">
      <c r="A83" s="1" t="s">
        <v>1</v>
      </c>
      <c r="B83" s="1">
        <v>25</v>
      </c>
      <c r="C83" s="1">
        <v>616314200</v>
      </c>
      <c r="D83" s="1">
        <v>920524600</v>
      </c>
      <c r="E83" s="1">
        <f t="shared" si="8"/>
        <v>-304210400</v>
      </c>
      <c r="F83" s="1">
        <f t="shared" si="9"/>
        <v>304210400</v>
      </c>
      <c r="G83" s="1">
        <f t="shared" si="10"/>
        <v>82</v>
      </c>
      <c r="H83" s="1">
        <f t="shared" si="11"/>
        <v>0</v>
      </c>
      <c r="I83" s="1">
        <f t="shared" si="12"/>
        <v>82</v>
      </c>
    </row>
    <row r="84" spans="1:9" x14ac:dyDescent="0.25">
      <c r="A84" s="1" t="s">
        <v>1</v>
      </c>
      <c r="B84" s="1">
        <v>30</v>
      </c>
      <c r="C84" s="1">
        <v>617005300</v>
      </c>
      <c r="D84" s="1">
        <v>921375100</v>
      </c>
      <c r="E84" s="1">
        <f t="shared" si="8"/>
        <v>-304369800</v>
      </c>
      <c r="F84" s="1">
        <f t="shared" si="9"/>
        <v>304369800</v>
      </c>
      <c r="G84" s="1">
        <f t="shared" si="10"/>
        <v>83</v>
      </c>
      <c r="H84" s="1">
        <f t="shared" si="11"/>
        <v>0</v>
      </c>
      <c r="I84" s="1">
        <f t="shared" si="12"/>
        <v>83</v>
      </c>
    </row>
    <row r="85" spans="1:9" x14ac:dyDescent="0.25">
      <c r="A85" s="1" t="s">
        <v>1</v>
      </c>
      <c r="B85" s="1">
        <v>27</v>
      </c>
      <c r="C85" s="1">
        <v>614632200</v>
      </c>
      <c r="D85" s="1">
        <v>919210600</v>
      </c>
      <c r="E85" s="1">
        <f t="shared" si="8"/>
        <v>-304578400</v>
      </c>
      <c r="F85" s="1">
        <f t="shared" si="9"/>
        <v>304578400</v>
      </c>
      <c r="G85" s="1">
        <f t="shared" si="10"/>
        <v>84</v>
      </c>
      <c r="H85" s="1">
        <f t="shared" si="11"/>
        <v>0</v>
      </c>
      <c r="I85" s="1">
        <f t="shared" si="12"/>
        <v>84</v>
      </c>
    </row>
    <row r="86" spans="1:9" x14ac:dyDescent="0.25">
      <c r="A86" s="1" t="s">
        <v>1</v>
      </c>
      <c r="B86" s="1">
        <v>16</v>
      </c>
      <c r="C86" s="1">
        <v>616475900</v>
      </c>
      <c r="D86" s="1">
        <v>921281700</v>
      </c>
      <c r="E86" s="1">
        <f t="shared" si="8"/>
        <v>-304805800</v>
      </c>
      <c r="F86" s="1">
        <f t="shared" si="9"/>
        <v>304805800</v>
      </c>
      <c r="G86" s="1">
        <f t="shared" si="10"/>
        <v>85</v>
      </c>
      <c r="H86" s="1">
        <f t="shared" si="11"/>
        <v>0</v>
      </c>
      <c r="I86" s="1">
        <f t="shared" si="12"/>
        <v>85</v>
      </c>
    </row>
    <row r="87" spans="1:9" x14ac:dyDescent="0.25">
      <c r="A87" s="1" t="s">
        <v>1</v>
      </c>
      <c r="B87" s="1">
        <v>23</v>
      </c>
      <c r="C87" s="1">
        <v>616142200</v>
      </c>
      <c r="D87" s="1">
        <v>921440200</v>
      </c>
      <c r="E87" s="1">
        <f t="shared" si="8"/>
        <v>-305298000</v>
      </c>
      <c r="F87" s="1">
        <f t="shared" si="9"/>
        <v>305298000</v>
      </c>
      <c r="G87" s="1">
        <f t="shared" si="10"/>
        <v>86</v>
      </c>
      <c r="H87" s="1">
        <f t="shared" si="11"/>
        <v>0</v>
      </c>
      <c r="I87" s="1">
        <f t="shared" si="12"/>
        <v>86</v>
      </c>
    </row>
    <row r="88" spans="1:9" x14ac:dyDescent="0.25">
      <c r="A88" s="1" t="s">
        <v>1</v>
      </c>
      <c r="B88" s="1">
        <v>12</v>
      </c>
      <c r="C88" s="1">
        <v>617022300</v>
      </c>
      <c r="D88" s="1">
        <v>922632300</v>
      </c>
      <c r="E88" s="1">
        <f t="shared" si="8"/>
        <v>-305610000</v>
      </c>
      <c r="F88" s="1">
        <f t="shared" si="9"/>
        <v>305610000</v>
      </c>
      <c r="G88" s="1">
        <f t="shared" si="10"/>
        <v>87</v>
      </c>
      <c r="H88" s="1">
        <f t="shared" si="11"/>
        <v>0</v>
      </c>
      <c r="I88" s="1">
        <f t="shared" si="12"/>
        <v>87</v>
      </c>
    </row>
    <row r="89" spans="1:9" x14ac:dyDescent="0.25">
      <c r="A89" s="1" t="s">
        <v>1</v>
      </c>
      <c r="B89" s="1">
        <v>28</v>
      </c>
      <c r="C89" s="1">
        <v>613856300</v>
      </c>
      <c r="D89" s="1">
        <v>919814300</v>
      </c>
      <c r="E89" s="1">
        <f t="shared" si="8"/>
        <v>-305958000</v>
      </c>
      <c r="F89" s="1">
        <f t="shared" si="9"/>
        <v>305958000</v>
      </c>
      <c r="G89" s="1">
        <f t="shared" si="10"/>
        <v>88</v>
      </c>
      <c r="H89" s="1">
        <f t="shared" si="11"/>
        <v>0</v>
      </c>
      <c r="I89" s="1">
        <f t="shared" si="12"/>
        <v>88</v>
      </c>
    </row>
    <row r="90" spans="1:9" x14ac:dyDescent="0.25">
      <c r="A90" s="1" t="s">
        <v>1</v>
      </c>
      <c r="B90" s="1">
        <v>26</v>
      </c>
      <c r="C90" s="1">
        <v>614448801</v>
      </c>
      <c r="D90" s="1">
        <v>920637600</v>
      </c>
      <c r="E90" s="1">
        <f t="shared" si="8"/>
        <v>-306188799</v>
      </c>
      <c r="F90" s="1">
        <f t="shared" si="9"/>
        <v>306188799</v>
      </c>
      <c r="G90" s="1">
        <f t="shared" si="10"/>
        <v>89</v>
      </c>
      <c r="H90" s="1">
        <f t="shared" si="11"/>
        <v>0</v>
      </c>
      <c r="I90" s="1">
        <f t="shared" si="12"/>
        <v>89</v>
      </c>
    </row>
    <row r="91" spans="1:9" x14ac:dyDescent="0.25">
      <c r="A91" s="1" t="s">
        <v>1</v>
      </c>
      <c r="B91" s="1">
        <v>85</v>
      </c>
      <c r="C91" s="1">
        <v>628459300</v>
      </c>
      <c r="D91" s="1">
        <v>934947900</v>
      </c>
      <c r="E91" s="1">
        <f t="shared" si="8"/>
        <v>-306488600</v>
      </c>
      <c r="F91" s="1">
        <f t="shared" si="9"/>
        <v>306488600</v>
      </c>
      <c r="G91" s="1">
        <f t="shared" si="10"/>
        <v>90</v>
      </c>
      <c r="H91" s="1">
        <f t="shared" si="11"/>
        <v>0</v>
      </c>
      <c r="I91" s="1">
        <f t="shared" si="12"/>
        <v>90</v>
      </c>
    </row>
    <row r="92" spans="1:9" x14ac:dyDescent="0.25">
      <c r="A92" s="1" t="s">
        <v>1</v>
      </c>
      <c r="B92" s="1">
        <v>14</v>
      </c>
      <c r="C92" s="1">
        <v>616400800</v>
      </c>
      <c r="D92" s="1">
        <v>925351500</v>
      </c>
      <c r="E92" s="1">
        <f t="shared" si="8"/>
        <v>-308950700</v>
      </c>
      <c r="F92" s="1">
        <f t="shared" si="9"/>
        <v>308950700</v>
      </c>
      <c r="G92" s="1">
        <f t="shared" si="10"/>
        <v>91</v>
      </c>
      <c r="H92" s="1">
        <f t="shared" si="11"/>
        <v>0</v>
      </c>
      <c r="I92" s="1">
        <f t="shared" si="12"/>
        <v>91</v>
      </c>
    </row>
    <row r="93" spans="1:9" x14ac:dyDescent="0.25">
      <c r="A93" s="1" t="s">
        <v>1</v>
      </c>
      <c r="B93" s="1">
        <v>11</v>
      </c>
      <c r="C93" s="1">
        <v>614131400</v>
      </c>
      <c r="D93" s="1">
        <v>923489600</v>
      </c>
      <c r="E93" s="1">
        <f t="shared" si="8"/>
        <v>-309358200</v>
      </c>
      <c r="F93" s="1">
        <f t="shared" si="9"/>
        <v>309358200</v>
      </c>
      <c r="G93" s="1">
        <f t="shared" si="10"/>
        <v>92</v>
      </c>
      <c r="H93" s="1">
        <f t="shared" si="11"/>
        <v>0</v>
      </c>
      <c r="I93" s="1">
        <f t="shared" si="12"/>
        <v>92</v>
      </c>
    </row>
    <row r="94" spans="1:9" x14ac:dyDescent="0.25">
      <c r="A94" s="1" t="s">
        <v>1</v>
      </c>
      <c r="B94" s="1">
        <v>74</v>
      </c>
      <c r="C94" s="1">
        <v>625186601</v>
      </c>
      <c r="D94" s="1">
        <v>936777900</v>
      </c>
      <c r="E94" s="1">
        <f t="shared" si="8"/>
        <v>-311591299</v>
      </c>
      <c r="F94" s="1">
        <f t="shared" si="9"/>
        <v>311591299</v>
      </c>
      <c r="G94" s="1">
        <f t="shared" si="10"/>
        <v>93</v>
      </c>
      <c r="H94" s="1">
        <f t="shared" si="11"/>
        <v>0</v>
      </c>
      <c r="I94" s="1">
        <f t="shared" si="12"/>
        <v>93</v>
      </c>
    </row>
    <row r="95" spans="1:9" x14ac:dyDescent="0.25">
      <c r="A95" s="1" t="s">
        <v>1</v>
      </c>
      <c r="B95" s="1">
        <v>58</v>
      </c>
      <c r="C95" s="1">
        <v>615751300</v>
      </c>
      <c r="D95" s="1">
        <v>930114100</v>
      </c>
      <c r="E95" s="1">
        <f t="shared" si="8"/>
        <v>-314362800</v>
      </c>
      <c r="F95" s="1">
        <f t="shared" si="9"/>
        <v>314362800</v>
      </c>
      <c r="G95" s="1">
        <f t="shared" si="10"/>
        <v>94</v>
      </c>
      <c r="H95" s="1">
        <f t="shared" si="11"/>
        <v>0</v>
      </c>
      <c r="I95" s="1">
        <f t="shared" si="12"/>
        <v>94</v>
      </c>
    </row>
    <row r="96" spans="1:9" x14ac:dyDescent="0.25">
      <c r="A96" s="1" t="s">
        <v>1</v>
      </c>
      <c r="B96" s="1">
        <v>96</v>
      </c>
      <c r="C96" s="1">
        <v>620180899</v>
      </c>
      <c r="D96" s="1">
        <v>935982300</v>
      </c>
      <c r="E96" s="1">
        <f t="shared" si="8"/>
        <v>-315801401</v>
      </c>
      <c r="F96" s="1">
        <f t="shared" si="9"/>
        <v>315801401</v>
      </c>
      <c r="G96" s="1">
        <f t="shared" si="10"/>
        <v>95</v>
      </c>
      <c r="H96" s="1">
        <f t="shared" si="11"/>
        <v>0</v>
      </c>
      <c r="I96" s="1">
        <f t="shared" si="12"/>
        <v>95</v>
      </c>
    </row>
    <row r="97" spans="1:20" x14ac:dyDescent="0.25">
      <c r="A97" s="1" t="s">
        <v>1</v>
      </c>
      <c r="B97" s="1">
        <v>1</v>
      </c>
      <c r="C97" s="1">
        <v>621083100</v>
      </c>
      <c r="D97" s="1">
        <v>941645000</v>
      </c>
      <c r="E97" s="1">
        <f t="shared" si="8"/>
        <v>-320561900</v>
      </c>
      <c r="F97" s="1">
        <f t="shared" si="9"/>
        <v>320561900</v>
      </c>
      <c r="G97" s="1">
        <f t="shared" si="10"/>
        <v>96</v>
      </c>
      <c r="H97" s="1">
        <f t="shared" si="11"/>
        <v>0</v>
      </c>
      <c r="I97" s="1">
        <f t="shared" si="12"/>
        <v>96</v>
      </c>
    </row>
    <row r="98" spans="1:20" x14ac:dyDescent="0.25">
      <c r="A98" s="1" t="s">
        <v>1</v>
      </c>
      <c r="B98" s="1">
        <v>6</v>
      </c>
      <c r="C98" s="1">
        <v>614036900</v>
      </c>
      <c r="D98" s="1">
        <v>936677600</v>
      </c>
      <c r="E98" s="1">
        <f t="shared" ref="E98:E129" si="13">C98-D98</f>
        <v>-322640700</v>
      </c>
      <c r="F98" s="1">
        <f t="shared" ref="F98:F129" si="14">ABS(E98)</f>
        <v>322640700</v>
      </c>
      <c r="G98" s="1">
        <f t="shared" ref="G98:G129" si="15">_xlfn.RANK.AVG(F98,$F$2:$F$101,1)</f>
        <v>97</v>
      </c>
      <c r="H98" s="1">
        <f t="shared" si="11"/>
        <v>0</v>
      </c>
      <c r="I98" s="1">
        <f t="shared" si="12"/>
        <v>97</v>
      </c>
    </row>
    <row r="99" spans="1:20" x14ac:dyDescent="0.25">
      <c r="A99" s="1" t="s">
        <v>1</v>
      </c>
      <c r="B99" s="1">
        <v>9</v>
      </c>
      <c r="C99" s="1">
        <v>616178800</v>
      </c>
      <c r="D99" s="1">
        <v>939094500</v>
      </c>
      <c r="E99" s="1">
        <f t="shared" si="13"/>
        <v>-322915700</v>
      </c>
      <c r="F99" s="1">
        <f t="shared" si="14"/>
        <v>322915700</v>
      </c>
      <c r="G99" s="1">
        <f t="shared" si="15"/>
        <v>98</v>
      </c>
      <c r="H99" s="1">
        <f t="shared" si="11"/>
        <v>0</v>
      </c>
      <c r="I99" s="1">
        <f t="shared" si="12"/>
        <v>98</v>
      </c>
    </row>
    <row r="100" spans="1:20" x14ac:dyDescent="0.25">
      <c r="A100" s="1" t="s">
        <v>1</v>
      </c>
      <c r="B100" s="1">
        <v>7</v>
      </c>
      <c r="C100" s="1">
        <v>615543000</v>
      </c>
      <c r="D100" s="1">
        <v>938958500</v>
      </c>
      <c r="E100" s="1">
        <f t="shared" si="13"/>
        <v>-323415500</v>
      </c>
      <c r="F100" s="1">
        <f t="shared" si="14"/>
        <v>323415500</v>
      </c>
      <c r="G100" s="1">
        <f t="shared" si="15"/>
        <v>99</v>
      </c>
      <c r="H100" s="1">
        <f t="shared" si="11"/>
        <v>0</v>
      </c>
      <c r="I100" s="1">
        <f t="shared" si="12"/>
        <v>99</v>
      </c>
    </row>
    <row r="101" spans="1:20" x14ac:dyDescent="0.25">
      <c r="A101" s="1" t="s">
        <v>1</v>
      </c>
      <c r="B101" s="1">
        <v>9</v>
      </c>
      <c r="C101" s="1">
        <v>614094501</v>
      </c>
      <c r="D101" s="1">
        <v>939094500</v>
      </c>
      <c r="E101" s="1">
        <f t="shared" si="13"/>
        <v>-324999999</v>
      </c>
      <c r="F101" s="1">
        <f t="shared" si="14"/>
        <v>324999999</v>
      </c>
      <c r="G101" s="1">
        <f t="shared" si="15"/>
        <v>100</v>
      </c>
      <c r="H101" s="1">
        <f t="shared" si="11"/>
        <v>0</v>
      </c>
      <c r="I101" s="1">
        <f t="shared" si="12"/>
        <v>100</v>
      </c>
    </row>
    <row r="104" spans="1:20" x14ac:dyDescent="0.25">
      <c r="A104" s="1" t="s">
        <v>0</v>
      </c>
      <c r="B104" s="1" t="s">
        <v>18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1" t="s">
        <v>8</v>
      </c>
      <c r="Q104" s="1" t="s">
        <v>11</v>
      </c>
      <c r="R104" s="1" t="s">
        <v>12</v>
      </c>
      <c r="S104" s="1" t="s">
        <v>14</v>
      </c>
      <c r="T104" s="1" t="s">
        <v>15</v>
      </c>
    </row>
    <row r="105" spans="1:20" x14ac:dyDescent="0.25">
      <c r="A105" s="1" t="s">
        <v>17</v>
      </c>
      <c r="B105" s="1">
        <v>95</v>
      </c>
      <c r="C105" s="1">
        <v>956550400</v>
      </c>
      <c r="D105" s="1">
        <v>856802400</v>
      </c>
      <c r="E105" s="1">
        <f t="shared" ref="E105:E136" si="16">C105-D105</f>
        <v>99748000</v>
      </c>
      <c r="F105" s="1">
        <f t="shared" ref="F105:F136" si="17">ABS(E105)</f>
        <v>99748000</v>
      </c>
      <c r="G105" s="1">
        <f t="shared" ref="G105:G136" si="18">_xlfn.RANK.AVG(F105,$F$105:$F$204,1)</f>
        <v>1</v>
      </c>
      <c r="H105" s="1">
        <f t="shared" ref="H105:H136" si="19">IF(E105&gt;0,G105,0)</f>
        <v>1</v>
      </c>
      <c r="I105" s="1">
        <f t="shared" ref="I105:I136" si="20">IF(E105&lt;0,G105,0)</f>
        <v>0</v>
      </c>
      <c r="N105" s="1" t="s">
        <v>9</v>
      </c>
      <c r="O105" s="1">
        <f>SUM(H105:H204)</f>
        <v>5050</v>
      </c>
      <c r="Q105" s="1">
        <f>100*(101)/4</f>
        <v>2525</v>
      </c>
      <c r="R105" s="1">
        <f>SQRT(100*101*201/24)</f>
        <v>290.83930270855763</v>
      </c>
      <c r="S105" s="1">
        <f>(O107-Q105)/R105</f>
        <v>-8.6817702301061956</v>
      </c>
      <c r="T105" s="1">
        <f>_xlfn.NORM.S.DIST(-ABS(S105),1)*2</f>
        <v>3.8965598450959092E-18</v>
      </c>
    </row>
    <row r="106" spans="1:20" x14ac:dyDescent="0.25">
      <c r="A106" s="1" t="s">
        <v>17</v>
      </c>
      <c r="B106" s="1">
        <v>51</v>
      </c>
      <c r="C106" s="1">
        <v>944086900</v>
      </c>
      <c r="D106" s="1">
        <v>838793500</v>
      </c>
      <c r="E106" s="1">
        <f t="shared" si="16"/>
        <v>105293400</v>
      </c>
      <c r="F106" s="1">
        <f t="shared" si="17"/>
        <v>105293400</v>
      </c>
      <c r="G106" s="1">
        <f t="shared" si="18"/>
        <v>2</v>
      </c>
      <c r="H106" s="1">
        <f t="shared" si="19"/>
        <v>2</v>
      </c>
      <c r="I106" s="1">
        <f t="shared" si="20"/>
        <v>0</v>
      </c>
      <c r="N106" s="1" t="s">
        <v>10</v>
      </c>
      <c r="O106" s="1">
        <f>SUM(I105:I204)</f>
        <v>0</v>
      </c>
    </row>
    <row r="107" spans="1:20" x14ac:dyDescent="0.25">
      <c r="A107" s="1" t="s">
        <v>17</v>
      </c>
      <c r="B107" s="1">
        <v>92</v>
      </c>
      <c r="C107" s="1">
        <v>939547399</v>
      </c>
      <c r="D107" s="1">
        <v>831827300</v>
      </c>
      <c r="E107" s="1">
        <f t="shared" si="16"/>
        <v>107720099</v>
      </c>
      <c r="F107" s="1">
        <f t="shared" si="17"/>
        <v>107720099</v>
      </c>
      <c r="G107" s="1">
        <f t="shared" si="18"/>
        <v>3</v>
      </c>
      <c r="H107" s="1">
        <f t="shared" si="19"/>
        <v>3</v>
      </c>
      <c r="I107" s="1">
        <f t="shared" si="20"/>
        <v>0</v>
      </c>
      <c r="N107" s="1" t="s">
        <v>13</v>
      </c>
      <c r="O107" s="1">
        <f>MIN(O105,O106)</f>
        <v>0</v>
      </c>
    </row>
    <row r="108" spans="1:20" x14ac:dyDescent="0.25">
      <c r="A108" s="1" t="s">
        <v>17</v>
      </c>
      <c r="B108" s="1">
        <v>71</v>
      </c>
      <c r="C108" s="1">
        <v>939739601</v>
      </c>
      <c r="D108" s="1">
        <v>831178000</v>
      </c>
      <c r="E108" s="1">
        <f t="shared" si="16"/>
        <v>108561601</v>
      </c>
      <c r="F108" s="1">
        <f t="shared" si="17"/>
        <v>108561601</v>
      </c>
      <c r="G108" s="1">
        <f t="shared" si="18"/>
        <v>4</v>
      </c>
      <c r="H108" s="1">
        <f t="shared" si="19"/>
        <v>4</v>
      </c>
      <c r="I108" s="1">
        <f t="shared" si="20"/>
        <v>0</v>
      </c>
    </row>
    <row r="109" spans="1:20" x14ac:dyDescent="0.25">
      <c r="A109" s="1" t="s">
        <v>17</v>
      </c>
      <c r="B109" s="1">
        <v>91</v>
      </c>
      <c r="C109" s="1">
        <v>940018799</v>
      </c>
      <c r="D109" s="1">
        <v>830820900</v>
      </c>
      <c r="E109" s="1">
        <f t="shared" si="16"/>
        <v>109197899</v>
      </c>
      <c r="F109" s="1">
        <f t="shared" si="17"/>
        <v>109197899</v>
      </c>
      <c r="G109" s="1">
        <f t="shared" si="18"/>
        <v>5</v>
      </c>
      <c r="H109" s="1">
        <f t="shared" si="19"/>
        <v>5</v>
      </c>
      <c r="I109" s="1">
        <f t="shared" si="20"/>
        <v>0</v>
      </c>
    </row>
    <row r="110" spans="1:20" x14ac:dyDescent="0.25">
      <c r="A110" s="1" t="s">
        <v>17</v>
      </c>
      <c r="B110" s="1">
        <v>66</v>
      </c>
      <c r="C110" s="1">
        <v>945106800</v>
      </c>
      <c r="D110" s="1">
        <v>835733700</v>
      </c>
      <c r="E110" s="1">
        <f t="shared" si="16"/>
        <v>109373100</v>
      </c>
      <c r="F110" s="1">
        <f t="shared" si="17"/>
        <v>109373100</v>
      </c>
      <c r="G110" s="1">
        <f t="shared" si="18"/>
        <v>6</v>
      </c>
      <c r="H110" s="1">
        <f t="shared" si="19"/>
        <v>6</v>
      </c>
      <c r="I110" s="1">
        <f t="shared" si="20"/>
        <v>0</v>
      </c>
    </row>
    <row r="111" spans="1:20" x14ac:dyDescent="0.25">
      <c r="A111" s="1" t="s">
        <v>17</v>
      </c>
      <c r="B111" s="1">
        <v>93</v>
      </c>
      <c r="C111" s="1">
        <v>940220900</v>
      </c>
      <c r="D111" s="1">
        <v>827722600</v>
      </c>
      <c r="E111" s="1">
        <f t="shared" si="16"/>
        <v>112498300</v>
      </c>
      <c r="F111" s="1">
        <f t="shared" si="17"/>
        <v>112498300</v>
      </c>
      <c r="G111" s="1">
        <f t="shared" si="18"/>
        <v>7</v>
      </c>
      <c r="H111" s="1">
        <f t="shared" si="19"/>
        <v>7</v>
      </c>
      <c r="I111" s="1">
        <f t="shared" si="20"/>
        <v>0</v>
      </c>
    </row>
    <row r="112" spans="1:20" x14ac:dyDescent="0.25">
      <c r="A112" s="1" t="s">
        <v>17</v>
      </c>
      <c r="B112" s="1">
        <v>63</v>
      </c>
      <c r="C112" s="1">
        <v>937972700</v>
      </c>
      <c r="D112" s="1">
        <v>825279200</v>
      </c>
      <c r="E112" s="1">
        <f t="shared" si="16"/>
        <v>112693500</v>
      </c>
      <c r="F112" s="1">
        <f t="shared" si="17"/>
        <v>112693500</v>
      </c>
      <c r="G112" s="1">
        <f t="shared" si="18"/>
        <v>8</v>
      </c>
      <c r="H112" s="1">
        <f t="shared" si="19"/>
        <v>8</v>
      </c>
      <c r="I112" s="1">
        <f t="shared" si="20"/>
        <v>0</v>
      </c>
    </row>
    <row r="113" spans="1:20" x14ac:dyDescent="0.25">
      <c r="A113" s="1" t="s">
        <v>17</v>
      </c>
      <c r="B113" s="1">
        <v>67</v>
      </c>
      <c r="C113" s="1">
        <v>941047400</v>
      </c>
      <c r="D113" s="1">
        <v>826614800</v>
      </c>
      <c r="E113" s="1">
        <f t="shared" si="16"/>
        <v>114432600</v>
      </c>
      <c r="F113" s="1">
        <f t="shared" si="17"/>
        <v>114432600</v>
      </c>
      <c r="G113" s="1">
        <f t="shared" si="18"/>
        <v>9</v>
      </c>
      <c r="H113" s="1">
        <f t="shared" si="19"/>
        <v>9</v>
      </c>
      <c r="I113" s="1">
        <f t="shared" si="20"/>
        <v>0</v>
      </c>
    </row>
    <row r="114" spans="1:20" x14ac:dyDescent="0.25">
      <c r="A114" s="1" t="s">
        <v>17</v>
      </c>
      <c r="B114" s="1">
        <v>96</v>
      </c>
      <c r="C114" s="1">
        <v>954106700</v>
      </c>
      <c r="D114" s="1">
        <v>839375200</v>
      </c>
      <c r="E114" s="1">
        <f t="shared" si="16"/>
        <v>114731500</v>
      </c>
      <c r="F114" s="1">
        <f t="shared" si="17"/>
        <v>114731500</v>
      </c>
      <c r="G114" s="1">
        <f t="shared" si="18"/>
        <v>10</v>
      </c>
      <c r="H114" s="1">
        <f t="shared" si="19"/>
        <v>10</v>
      </c>
      <c r="I114" s="1">
        <f t="shared" si="20"/>
        <v>0</v>
      </c>
    </row>
    <row r="115" spans="1:20" x14ac:dyDescent="0.25">
      <c r="A115" s="1" t="s">
        <v>17</v>
      </c>
      <c r="B115" s="1">
        <v>84</v>
      </c>
      <c r="C115" s="1">
        <v>945425000</v>
      </c>
      <c r="D115" s="1">
        <v>830651400</v>
      </c>
      <c r="E115" s="1">
        <f t="shared" si="16"/>
        <v>114773600</v>
      </c>
      <c r="F115" s="1">
        <f t="shared" si="17"/>
        <v>114773600</v>
      </c>
      <c r="G115" s="1">
        <f t="shared" si="18"/>
        <v>11</v>
      </c>
      <c r="H115" s="1">
        <f t="shared" si="19"/>
        <v>11</v>
      </c>
      <c r="I115" s="1">
        <f t="shared" si="20"/>
        <v>0</v>
      </c>
    </row>
    <row r="116" spans="1:20" x14ac:dyDescent="0.25">
      <c r="A116" s="1" t="s">
        <v>17</v>
      </c>
      <c r="B116" s="1">
        <v>37</v>
      </c>
      <c r="C116" s="1">
        <v>947775700</v>
      </c>
      <c r="D116" s="1">
        <v>831376500</v>
      </c>
      <c r="E116" s="1">
        <f t="shared" si="16"/>
        <v>116399200</v>
      </c>
      <c r="F116" s="1">
        <f t="shared" si="17"/>
        <v>116399200</v>
      </c>
      <c r="G116" s="1">
        <f t="shared" si="18"/>
        <v>12</v>
      </c>
      <c r="H116" s="1">
        <f t="shared" si="19"/>
        <v>12</v>
      </c>
      <c r="I116" s="1">
        <f t="shared" si="20"/>
        <v>0</v>
      </c>
    </row>
    <row r="117" spans="1:20" x14ac:dyDescent="0.25">
      <c r="A117" s="1" t="s">
        <v>17</v>
      </c>
      <c r="B117" s="1">
        <v>99</v>
      </c>
      <c r="C117" s="1">
        <v>939319900</v>
      </c>
      <c r="D117" s="1">
        <v>822484300</v>
      </c>
      <c r="E117" s="1">
        <f t="shared" si="16"/>
        <v>116835600</v>
      </c>
      <c r="F117" s="1">
        <f t="shared" si="17"/>
        <v>116835600</v>
      </c>
      <c r="G117" s="1">
        <f t="shared" si="18"/>
        <v>13</v>
      </c>
      <c r="H117" s="1">
        <f t="shared" si="19"/>
        <v>13</v>
      </c>
      <c r="I117" s="1">
        <f t="shared" si="20"/>
        <v>0</v>
      </c>
      <c r="N117" s="2" t="s">
        <v>20</v>
      </c>
      <c r="O117" s="2"/>
      <c r="P117" s="2"/>
      <c r="Q117" s="2"/>
      <c r="R117" s="2"/>
      <c r="S117" s="2"/>
      <c r="T117" s="2"/>
    </row>
    <row r="118" spans="1:20" x14ac:dyDescent="0.25">
      <c r="A118" s="1" t="s">
        <v>17</v>
      </c>
      <c r="B118" s="1">
        <v>68</v>
      </c>
      <c r="C118" s="1">
        <v>941769300</v>
      </c>
      <c r="D118" s="1">
        <v>824853300</v>
      </c>
      <c r="E118" s="1">
        <f t="shared" si="16"/>
        <v>116916000</v>
      </c>
      <c r="F118" s="1">
        <f t="shared" si="17"/>
        <v>116916000</v>
      </c>
      <c r="G118" s="1">
        <f t="shared" si="18"/>
        <v>14</v>
      </c>
      <c r="H118" s="1">
        <f t="shared" si="19"/>
        <v>14</v>
      </c>
      <c r="I118" s="1">
        <f t="shared" si="20"/>
        <v>0</v>
      </c>
      <c r="N118" s="2"/>
      <c r="O118" s="2"/>
      <c r="P118" s="2"/>
      <c r="Q118" s="2"/>
      <c r="R118" s="2"/>
      <c r="S118" s="2"/>
      <c r="T118" s="2"/>
    </row>
    <row r="119" spans="1:20" x14ac:dyDescent="0.25">
      <c r="A119" s="1" t="s">
        <v>17</v>
      </c>
      <c r="B119" s="1">
        <v>75</v>
      </c>
      <c r="C119" s="1">
        <v>947911000</v>
      </c>
      <c r="D119" s="1">
        <v>830412900</v>
      </c>
      <c r="E119" s="1">
        <f t="shared" si="16"/>
        <v>117498100</v>
      </c>
      <c r="F119" s="1">
        <f t="shared" si="17"/>
        <v>117498100</v>
      </c>
      <c r="G119" s="1">
        <f t="shared" si="18"/>
        <v>15</v>
      </c>
      <c r="H119" s="1">
        <f t="shared" si="19"/>
        <v>15</v>
      </c>
      <c r="I119" s="1">
        <f t="shared" si="20"/>
        <v>0</v>
      </c>
      <c r="N119" s="2"/>
      <c r="O119" s="2"/>
      <c r="P119" s="2"/>
      <c r="Q119" s="2"/>
      <c r="R119" s="2"/>
      <c r="S119" s="2"/>
      <c r="T119" s="2"/>
    </row>
    <row r="120" spans="1:20" x14ac:dyDescent="0.25">
      <c r="A120" s="1" t="s">
        <v>17</v>
      </c>
      <c r="B120" s="1">
        <v>88</v>
      </c>
      <c r="C120" s="1">
        <v>946938200</v>
      </c>
      <c r="D120" s="1">
        <v>828806200</v>
      </c>
      <c r="E120" s="1">
        <f t="shared" si="16"/>
        <v>118132000</v>
      </c>
      <c r="F120" s="1">
        <f t="shared" si="17"/>
        <v>118132000</v>
      </c>
      <c r="G120" s="1">
        <f t="shared" si="18"/>
        <v>16</v>
      </c>
      <c r="H120" s="1">
        <f t="shared" si="19"/>
        <v>16</v>
      </c>
      <c r="I120" s="1">
        <f t="shared" si="20"/>
        <v>0</v>
      </c>
      <c r="N120" s="2"/>
      <c r="O120" s="2"/>
      <c r="P120" s="2"/>
      <c r="Q120" s="2"/>
      <c r="R120" s="2"/>
      <c r="S120" s="2"/>
      <c r="T120" s="2"/>
    </row>
    <row r="121" spans="1:20" x14ac:dyDescent="0.25">
      <c r="A121" s="1" t="s">
        <v>17</v>
      </c>
      <c r="B121" s="1">
        <v>74</v>
      </c>
      <c r="C121" s="1">
        <v>947986701</v>
      </c>
      <c r="D121" s="1">
        <v>829370300</v>
      </c>
      <c r="E121" s="1">
        <f t="shared" si="16"/>
        <v>118616401</v>
      </c>
      <c r="F121" s="1">
        <f t="shared" si="17"/>
        <v>118616401</v>
      </c>
      <c r="G121" s="1">
        <f t="shared" si="18"/>
        <v>17</v>
      </c>
      <c r="H121" s="1">
        <f t="shared" si="19"/>
        <v>17</v>
      </c>
      <c r="I121" s="1">
        <f t="shared" si="20"/>
        <v>0</v>
      </c>
      <c r="N121" s="2"/>
      <c r="O121" s="2"/>
      <c r="P121" s="2"/>
      <c r="Q121" s="2"/>
      <c r="R121" s="2"/>
      <c r="S121" s="2"/>
      <c r="T121" s="2"/>
    </row>
    <row r="122" spans="1:20" x14ac:dyDescent="0.25">
      <c r="A122" s="1" t="s">
        <v>17</v>
      </c>
      <c r="B122" s="1">
        <v>73</v>
      </c>
      <c r="C122" s="1">
        <v>948827800</v>
      </c>
      <c r="D122" s="1">
        <v>828463100</v>
      </c>
      <c r="E122" s="1">
        <f t="shared" si="16"/>
        <v>120364700</v>
      </c>
      <c r="F122" s="1">
        <f t="shared" si="17"/>
        <v>120364700</v>
      </c>
      <c r="G122" s="1">
        <f t="shared" si="18"/>
        <v>18</v>
      </c>
      <c r="H122" s="1">
        <f t="shared" si="19"/>
        <v>18</v>
      </c>
      <c r="I122" s="1">
        <f t="shared" si="20"/>
        <v>0</v>
      </c>
    </row>
    <row r="123" spans="1:20" x14ac:dyDescent="0.25">
      <c r="A123" s="1" t="s">
        <v>17</v>
      </c>
      <c r="B123" s="1">
        <v>100</v>
      </c>
      <c r="C123" s="1">
        <v>942341300</v>
      </c>
      <c r="D123" s="1">
        <v>821746300</v>
      </c>
      <c r="E123" s="1">
        <f t="shared" si="16"/>
        <v>120595000</v>
      </c>
      <c r="F123" s="1">
        <f t="shared" si="17"/>
        <v>120595000</v>
      </c>
      <c r="G123" s="1">
        <f t="shared" si="18"/>
        <v>19</v>
      </c>
      <c r="H123" s="1">
        <f t="shared" si="19"/>
        <v>19</v>
      </c>
      <c r="I123" s="1">
        <f t="shared" si="20"/>
        <v>0</v>
      </c>
    </row>
    <row r="124" spans="1:20" x14ac:dyDescent="0.25">
      <c r="A124" s="1" t="s">
        <v>17</v>
      </c>
      <c r="B124" s="1">
        <v>54</v>
      </c>
      <c r="C124" s="1">
        <v>946283800</v>
      </c>
      <c r="D124" s="1">
        <v>825217100</v>
      </c>
      <c r="E124" s="1">
        <f t="shared" si="16"/>
        <v>121066700</v>
      </c>
      <c r="F124" s="1">
        <f t="shared" si="17"/>
        <v>121066700</v>
      </c>
      <c r="G124" s="1">
        <f t="shared" si="18"/>
        <v>20</v>
      </c>
      <c r="H124" s="1">
        <f t="shared" si="19"/>
        <v>20</v>
      </c>
      <c r="I124" s="1">
        <f t="shared" si="20"/>
        <v>0</v>
      </c>
    </row>
    <row r="125" spans="1:20" x14ac:dyDescent="0.25">
      <c r="A125" s="1" t="s">
        <v>17</v>
      </c>
      <c r="B125" s="1">
        <v>65</v>
      </c>
      <c r="C125" s="1">
        <v>945507200</v>
      </c>
      <c r="D125" s="1">
        <v>823362000</v>
      </c>
      <c r="E125" s="1">
        <f t="shared" si="16"/>
        <v>122145200</v>
      </c>
      <c r="F125" s="1">
        <f t="shared" si="17"/>
        <v>122145200</v>
      </c>
      <c r="G125" s="1">
        <f t="shared" si="18"/>
        <v>21</v>
      </c>
      <c r="H125" s="1">
        <f t="shared" si="19"/>
        <v>21</v>
      </c>
      <c r="I125" s="1">
        <f t="shared" si="20"/>
        <v>0</v>
      </c>
    </row>
    <row r="126" spans="1:20" x14ac:dyDescent="0.25">
      <c r="A126" s="1" t="s">
        <v>17</v>
      </c>
      <c r="B126" s="1">
        <v>70</v>
      </c>
      <c r="C126" s="1">
        <v>941794499</v>
      </c>
      <c r="D126" s="1">
        <v>819474000</v>
      </c>
      <c r="E126" s="1">
        <f t="shared" si="16"/>
        <v>122320499</v>
      </c>
      <c r="F126" s="1">
        <f t="shared" si="17"/>
        <v>122320499</v>
      </c>
      <c r="G126" s="1">
        <f t="shared" si="18"/>
        <v>22</v>
      </c>
      <c r="H126" s="1">
        <f t="shared" si="19"/>
        <v>22</v>
      </c>
      <c r="I126" s="1">
        <f t="shared" si="20"/>
        <v>0</v>
      </c>
    </row>
    <row r="127" spans="1:20" x14ac:dyDescent="0.25">
      <c r="A127" s="1" t="s">
        <v>17</v>
      </c>
      <c r="B127" s="1">
        <v>90</v>
      </c>
      <c r="C127" s="1">
        <v>958676999</v>
      </c>
      <c r="D127" s="1">
        <v>836069000</v>
      </c>
      <c r="E127" s="1">
        <f t="shared" si="16"/>
        <v>122607999</v>
      </c>
      <c r="F127" s="1">
        <f t="shared" si="17"/>
        <v>122607999</v>
      </c>
      <c r="G127" s="1">
        <f t="shared" si="18"/>
        <v>23</v>
      </c>
      <c r="H127" s="1">
        <f t="shared" si="19"/>
        <v>23</v>
      </c>
      <c r="I127" s="1">
        <f t="shared" si="20"/>
        <v>0</v>
      </c>
    </row>
    <row r="128" spans="1:20" x14ac:dyDescent="0.25">
      <c r="A128" s="1" t="s">
        <v>17</v>
      </c>
      <c r="B128" s="1">
        <v>62</v>
      </c>
      <c r="C128" s="1">
        <v>936917200</v>
      </c>
      <c r="D128" s="1">
        <v>813944200</v>
      </c>
      <c r="E128" s="1">
        <f t="shared" si="16"/>
        <v>122973000</v>
      </c>
      <c r="F128" s="1">
        <f t="shared" si="17"/>
        <v>122973000</v>
      </c>
      <c r="G128" s="1">
        <f t="shared" si="18"/>
        <v>24</v>
      </c>
      <c r="H128" s="1">
        <f t="shared" si="19"/>
        <v>24</v>
      </c>
      <c r="I128" s="1">
        <f t="shared" si="20"/>
        <v>0</v>
      </c>
    </row>
    <row r="129" spans="1:9" x14ac:dyDescent="0.25">
      <c r="A129" s="1" t="s">
        <v>17</v>
      </c>
      <c r="B129" s="1">
        <v>3</v>
      </c>
      <c r="C129" s="1">
        <v>937232599</v>
      </c>
      <c r="D129" s="1">
        <v>814036700</v>
      </c>
      <c r="E129" s="1">
        <f t="shared" si="16"/>
        <v>123195899</v>
      </c>
      <c r="F129" s="1">
        <f t="shared" si="17"/>
        <v>123195899</v>
      </c>
      <c r="G129" s="1">
        <f t="shared" si="18"/>
        <v>25</v>
      </c>
      <c r="H129" s="1">
        <f t="shared" si="19"/>
        <v>25</v>
      </c>
      <c r="I129" s="1">
        <f t="shared" si="20"/>
        <v>0</v>
      </c>
    </row>
    <row r="130" spans="1:9" x14ac:dyDescent="0.25">
      <c r="A130" s="1" t="s">
        <v>17</v>
      </c>
      <c r="B130" s="1">
        <v>94</v>
      </c>
      <c r="C130" s="1">
        <v>941920200</v>
      </c>
      <c r="D130" s="1">
        <v>818518500</v>
      </c>
      <c r="E130" s="1">
        <f t="shared" si="16"/>
        <v>123401700</v>
      </c>
      <c r="F130" s="1">
        <f t="shared" si="17"/>
        <v>123401700</v>
      </c>
      <c r="G130" s="1">
        <f t="shared" si="18"/>
        <v>26</v>
      </c>
      <c r="H130" s="1">
        <f t="shared" si="19"/>
        <v>26</v>
      </c>
      <c r="I130" s="1">
        <f t="shared" si="20"/>
        <v>0</v>
      </c>
    </row>
    <row r="131" spans="1:9" x14ac:dyDescent="0.25">
      <c r="A131" s="1" t="s">
        <v>17</v>
      </c>
      <c r="B131" s="1">
        <v>85</v>
      </c>
      <c r="C131" s="1">
        <v>942105300</v>
      </c>
      <c r="D131" s="1">
        <v>818611400</v>
      </c>
      <c r="E131" s="1">
        <f t="shared" si="16"/>
        <v>123493900</v>
      </c>
      <c r="F131" s="1">
        <f t="shared" si="17"/>
        <v>123493900</v>
      </c>
      <c r="G131" s="1">
        <f t="shared" si="18"/>
        <v>27</v>
      </c>
      <c r="H131" s="1">
        <f t="shared" si="19"/>
        <v>27</v>
      </c>
      <c r="I131" s="1">
        <f t="shared" si="20"/>
        <v>0</v>
      </c>
    </row>
    <row r="132" spans="1:9" x14ac:dyDescent="0.25">
      <c r="A132" s="1" t="s">
        <v>17</v>
      </c>
      <c r="B132" s="1">
        <v>60</v>
      </c>
      <c r="C132" s="1">
        <v>950078600</v>
      </c>
      <c r="D132" s="1">
        <v>826040500</v>
      </c>
      <c r="E132" s="1">
        <f t="shared" si="16"/>
        <v>124038100</v>
      </c>
      <c r="F132" s="1">
        <f t="shared" si="17"/>
        <v>124038100</v>
      </c>
      <c r="G132" s="1">
        <f t="shared" si="18"/>
        <v>28</v>
      </c>
      <c r="H132" s="1">
        <f t="shared" si="19"/>
        <v>28</v>
      </c>
      <c r="I132" s="1">
        <f t="shared" si="20"/>
        <v>0</v>
      </c>
    </row>
    <row r="133" spans="1:9" x14ac:dyDescent="0.25">
      <c r="A133" s="1" t="s">
        <v>17</v>
      </c>
      <c r="B133" s="1">
        <v>78</v>
      </c>
      <c r="C133" s="1">
        <v>938898701</v>
      </c>
      <c r="D133" s="1">
        <v>814348200</v>
      </c>
      <c r="E133" s="1">
        <f t="shared" si="16"/>
        <v>124550501</v>
      </c>
      <c r="F133" s="1">
        <f t="shared" si="17"/>
        <v>124550501</v>
      </c>
      <c r="G133" s="1">
        <f t="shared" si="18"/>
        <v>29</v>
      </c>
      <c r="H133" s="1">
        <f t="shared" si="19"/>
        <v>29</v>
      </c>
      <c r="I133" s="1">
        <f t="shared" si="20"/>
        <v>0</v>
      </c>
    </row>
    <row r="134" spans="1:9" x14ac:dyDescent="0.25">
      <c r="A134" s="1" t="s">
        <v>17</v>
      </c>
      <c r="B134" s="1">
        <v>41</v>
      </c>
      <c r="C134" s="1">
        <v>940110400</v>
      </c>
      <c r="D134" s="1">
        <v>815035500</v>
      </c>
      <c r="E134" s="1">
        <f t="shared" si="16"/>
        <v>125074900</v>
      </c>
      <c r="F134" s="1">
        <f t="shared" si="17"/>
        <v>125074900</v>
      </c>
      <c r="G134" s="1">
        <f t="shared" si="18"/>
        <v>30</v>
      </c>
      <c r="H134" s="1">
        <f t="shared" si="19"/>
        <v>30</v>
      </c>
      <c r="I134" s="1">
        <f t="shared" si="20"/>
        <v>0</v>
      </c>
    </row>
    <row r="135" spans="1:9" x14ac:dyDescent="0.25">
      <c r="A135" s="1" t="s">
        <v>17</v>
      </c>
      <c r="B135" s="1">
        <v>4</v>
      </c>
      <c r="C135" s="1">
        <v>939177201</v>
      </c>
      <c r="D135" s="1">
        <v>813886000</v>
      </c>
      <c r="E135" s="1">
        <f t="shared" si="16"/>
        <v>125291201</v>
      </c>
      <c r="F135" s="1">
        <f t="shared" si="17"/>
        <v>125291201</v>
      </c>
      <c r="G135" s="1">
        <f t="shared" si="18"/>
        <v>31</v>
      </c>
      <c r="H135" s="1">
        <f t="shared" si="19"/>
        <v>31</v>
      </c>
      <c r="I135" s="1">
        <f t="shared" si="20"/>
        <v>0</v>
      </c>
    </row>
    <row r="136" spans="1:9" x14ac:dyDescent="0.25">
      <c r="A136" s="1" t="s">
        <v>17</v>
      </c>
      <c r="B136" s="1">
        <v>44</v>
      </c>
      <c r="C136" s="1">
        <v>939776200</v>
      </c>
      <c r="D136" s="1">
        <v>814455100</v>
      </c>
      <c r="E136" s="1">
        <f t="shared" si="16"/>
        <v>125321100</v>
      </c>
      <c r="F136" s="1">
        <f t="shared" si="17"/>
        <v>125321100</v>
      </c>
      <c r="G136" s="1">
        <f t="shared" si="18"/>
        <v>32</v>
      </c>
      <c r="H136" s="1">
        <f t="shared" si="19"/>
        <v>32</v>
      </c>
      <c r="I136" s="1">
        <f t="shared" si="20"/>
        <v>0</v>
      </c>
    </row>
    <row r="137" spans="1:9" x14ac:dyDescent="0.25">
      <c r="A137" s="1" t="s">
        <v>17</v>
      </c>
      <c r="B137" s="1">
        <v>45</v>
      </c>
      <c r="C137" s="1">
        <v>939667201</v>
      </c>
      <c r="D137" s="1">
        <v>813930400</v>
      </c>
      <c r="E137" s="1">
        <f t="shared" ref="E137:E168" si="21">C137-D137</f>
        <v>125736801</v>
      </c>
      <c r="F137" s="1">
        <f t="shared" ref="F137:F168" si="22">ABS(E137)</f>
        <v>125736801</v>
      </c>
      <c r="G137" s="1">
        <f t="shared" ref="G137:G168" si="23">_xlfn.RANK.AVG(F137,$F$105:$F$204,1)</f>
        <v>33</v>
      </c>
      <c r="H137" s="1">
        <f t="shared" ref="H137:H168" si="24">IF(E137&gt;0,G137,0)</f>
        <v>33</v>
      </c>
      <c r="I137" s="1">
        <f t="shared" ref="I137:I168" si="25">IF(E137&lt;0,G137,0)</f>
        <v>0</v>
      </c>
    </row>
    <row r="138" spans="1:9" x14ac:dyDescent="0.25">
      <c r="A138" s="1" t="s">
        <v>17</v>
      </c>
      <c r="B138" s="1">
        <v>43</v>
      </c>
      <c r="C138" s="1">
        <v>939708600</v>
      </c>
      <c r="D138" s="1">
        <v>813863500</v>
      </c>
      <c r="E138" s="1">
        <f t="shared" si="21"/>
        <v>125845100</v>
      </c>
      <c r="F138" s="1">
        <f t="shared" si="22"/>
        <v>125845100</v>
      </c>
      <c r="G138" s="1">
        <f t="shared" si="23"/>
        <v>34</v>
      </c>
      <c r="H138" s="1">
        <f t="shared" si="24"/>
        <v>34</v>
      </c>
      <c r="I138" s="1">
        <f t="shared" si="25"/>
        <v>0</v>
      </c>
    </row>
    <row r="139" spans="1:9" x14ac:dyDescent="0.25">
      <c r="A139" s="1" t="s">
        <v>17</v>
      </c>
      <c r="B139" s="1">
        <v>40</v>
      </c>
      <c r="C139" s="1">
        <v>939809000</v>
      </c>
      <c r="D139" s="1">
        <v>813940800</v>
      </c>
      <c r="E139" s="1">
        <f t="shared" si="21"/>
        <v>125868200</v>
      </c>
      <c r="F139" s="1">
        <f t="shared" si="22"/>
        <v>125868200</v>
      </c>
      <c r="G139" s="1">
        <f t="shared" si="23"/>
        <v>35</v>
      </c>
      <c r="H139" s="1">
        <f t="shared" si="24"/>
        <v>35</v>
      </c>
      <c r="I139" s="1">
        <f t="shared" si="25"/>
        <v>0</v>
      </c>
    </row>
    <row r="140" spans="1:9" x14ac:dyDescent="0.25">
      <c r="A140" s="1" t="s">
        <v>17</v>
      </c>
      <c r="B140" s="1">
        <v>64</v>
      </c>
      <c r="C140" s="1">
        <v>945083401</v>
      </c>
      <c r="D140" s="1">
        <v>818717500</v>
      </c>
      <c r="E140" s="1">
        <f t="shared" si="21"/>
        <v>126365901</v>
      </c>
      <c r="F140" s="1">
        <f t="shared" si="22"/>
        <v>126365901</v>
      </c>
      <c r="G140" s="1">
        <f t="shared" si="23"/>
        <v>36</v>
      </c>
      <c r="H140" s="1">
        <f t="shared" si="24"/>
        <v>36</v>
      </c>
      <c r="I140" s="1">
        <f t="shared" si="25"/>
        <v>0</v>
      </c>
    </row>
    <row r="141" spans="1:9" x14ac:dyDescent="0.25">
      <c r="A141" s="1" t="s">
        <v>17</v>
      </c>
      <c r="B141" s="1">
        <v>49</v>
      </c>
      <c r="C141" s="1">
        <v>940552500</v>
      </c>
      <c r="D141" s="1">
        <v>813897700</v>
      </c>
      <c r="E141" s="1">
        <f t="shared" si="21"/>
        <v>126654800</v>
      </c>
      <c r="F141" s="1">
        <f t="shared" si="22"/>
        <v>126654800</v>
      </c>
      <c r="G141" s="1">
        <f t="shared" si="23"/>
        <v>37</v>
      </c>
      <c r="H141" s="1">
        <f t="shared" si="24"/>
        <v>37</v>
      </c>
      <c r="I141" s="1">
        <f t="shared" si="25"/>
        <v>0</v>
      </c>
    </row>
    <row r="142" spans="1:9" x14ac:dyDescent="0.25">
      <c r="A142" s="1" t="s">
        <v>17</v>
      </c>
      <c r="B142" s="1">
        <v>42</v>
      </c>
      <c r="C142" s="1">
        <v>941446701</v>
      </c>
      <c r="D142" s="1">
        <v>814743200</v>
      </c>
      <c r="E142" s="1">
        <f t="shared" si="21"/>
        <v>126703501</v>
      </c>
      <c r="F142" s="1">
        <f t="shared" si="22"/>
        <v>126703501</v>
      </c>
      <c r="G142" s="1">
        <f t="shared" si="23"/>
        <v>38</v>
      </c>
      <c r="H142" s="1">
        <f t="shared" si="24"/>
        <v>38</v>
      </c>
      <c r="I142" s="1">
        <f t="shared" si="25"/>
        <v>0</v>
      </c>
    </row>
    <row r="143" spans="1:9" x14ac:dyDescent="0.25">
      <c r="A143" s="1" t="s">
        <v>17</v>
      </c>
      <c r="B143" s="1">
        <v>39</v>
      </c>
      <c r="C143" s="1">
        <v>940957600</v>
      </c>
      <c r="D143" s="1">
        <v>813966600</v>
      </c>
      <c r="E143" s="1">
        <f t="shared" si="21"/>
        <v>126991000</v>
      </c>
      <c r="F143" s="1">
        <f t="shared" si="22"/>
        <v>126991000</v>
      </c>
      <c r="G143" s="1">
        <f t="shared" si="23"/>
        <v>39</v>
      </c>
      <c r="H143" s="1">
        <f t="shared" si="24"/>
        <v>39</v>
      </c>
      <c r="I143" s="1">
        <f t="shared" si="25"/>
        <v>0</v>
      </c>
    </row>
    <row r="144" spans="1:9" x14ac:dyDescent="0.25">
      <c r="A144" s="1" t="s">
        <v>17</v>
      </c>
      <c r="B144" s="1">
        <v>47</v>
      </c>
      <c r="C144" s="1">
        <v>942019301</v>
      </c>
      <c r="D144" s="1">
        <v>814260000</v>
      </c>
      <c r="E144" s="1">
        <f t="shared" si="21"/>
        <v>127759301</v>
      </c>
      <c r="F144" s="1">
        <f t="shared" si="22"/>
        <v>127759301</v>
      </c>
      <c r="G144" s="1">
        <f t="shared" si="23"/>
        <v>40</v>
      </c>
      <c r="H144" s="1">
        <f t="shared" si="24"/>
        <v>40</v>
      </c>
      <c r="I144" s="1">
        <f t="shared" si="25"/>
        <v>0</v>
      </c>
    </row>
    <row r="145" spans="1:9" x14ac:dyDescent="0.25">
      <c r="A145" s="1" t="s">
        <v>17</v>
      </c>
      <c r="B145" s="1">
        <v>81</v>
      </c>
      <c r="C145" s="1">
        <v>946914200</v>
      </c>
      <c r="D145" s="1">
        <v>818558400</v>
      </c>
      <c r="E145" s="1">
        <f t="shared" si="21"/>
        <v>128355800</v>
      </c>
      <c r="F145" s="1">
        <f t="shared" si="22"/>
        <v>128355800</v>
      </c>
      <c r="G145" s="1">
        <f t="shared" si="23"/>
        <v>41</v>
      </c>
      <c r="H145" s="1">
        <f t="shared" si="24"/>
        <v>41</v>
      </c>
      <c r="I145" s="1">
        <f t="shared" si="25"/>
        <v>0</v>
      </c>
    </row>
    <row r="146" spans="1:9" x14ac:dyDescent="0.25">
      <c r="A146" s="1" t="s">
        <v>17</v>
      </c>
      <c r="B146" s="1">
        <v>48</v>
      </c>
      <c r="C146" s="1">
        <v>943093700</v>
      </c>
      <c r="D146" s="1">
        <v>814158600</v>
      </c>
      <c r="E146" s="1">
        <f t="shared" si="21"/>
        <v>128935100</v>
      </c>
      <c r="F146" s="1">
        <f t="shared" si="22"/>
        <v>128935100</v>
      </c>
      <c r="G146" s="1">
        <f t="shared" si="23"/>
        <v>42</v>
      </c>
      <c r="H146" s="1">
        <f t="shared" si="24"/>
        <v>42</v>
      </c>
      <c r="I146" s="1">
        <f t="shared" si="25"/>
        <v>0</v>
      </c>
    </row>
    <row r="147" spans="1:9" x14ac:dyDescent="0.25">
      <c r="A147" s="1" t="s">
        <v>17</v>
      </c>
      <c r="B147" s="1">
        <v>30</v>
      </c>
      <c r="C147" s="1">
        <v>970225601</v>
      </c>
      <c r="D147" s="1">
        <v>841286800</v>
      </c>
      <c r="E147" s="1">
        <f t="shared" si="21"/>
        <v>128938801</v>
      </c>
      <c r="F147" s="1">
        <f t="shared" si="22"/>
        <v>128938801</v>
      </c>
      <c r="G147" s="1">
        <f t="shared" si="23"/>
        <v>43</v>
      </c>
      <c r="H147" s="1">
        <f t="shared" si="24"/>
        <v>43</v>
      </c>
      <c r="I147" s="1">
        <f t="shared" si="25"/>
        <v>0</v>
      </c>
    </row>
    <row r="148" spans="1:9" x14ac:dyDescent="0.25">
      <c r="A148" s="1" t="s">
        <v>17</v>
      </c>
      <c r="B148" s="1">
        <v>53</v>
      </c>
      <c r="C148" s="1">
        <v>943559100</v>
      </c>
      <c r="D148" s="1">
        <v>814037100</v>
      </c>
      <c r="E148" s="1">
        <f t="shared" si="21"/>
        <v>129522000</v>
      </c>
      <c r="F148" s="1">
        <f t="shared" si="22"/>
        <v>129522000</v>
      </c>
      <c r="G148" s="1">
        <f t="shared" si="23"/>
        <v>44</v>
      </c>
      <c r="H148" s="1">
        <f t="shared" si="24"/>
        <v>44</v>
      </c>
      <c r="I148" s="1">
        <f t="shared" si="25"/>
        <v>0</v>
      </c>
    </row>
    <row r="149" spans="1:9" x14ac:dyDescent="0.25">
      <c r="A149" s="1" t="s">
        <v>17</v>
      </c>
      <c r="B149" s="1">
        <v>46</v>
      </c>
      <c r="C149" s="1">
        <v>943914799</v>
      </c>
      <c r="D149" s="1">
        <v>813978900</v>
      </c>
      <c r="E149" s="1">
        <f t="shared" si="21"/>
        <v>129935899</v>
      </c>
      <c r="F149" s="1">
        <f t="shared" si="22"/>
        <v>129935899</v>
      </c>
      <c r="G149" s="1">
        <f t="shared" si="23"/>
        <v>45</v>
      </c>
      <c r="H149" s="1">
        <f t="shared" si="24"/>
        <v>45</v>
      </c>
      <c r="I149" s="1">
        <f t="shared" si="25"/>
        <v>0</v>
      </c>
    </row>
    <row r="150" spans="1:9" x14ac:dyDescent="0.25">
      <c r="A150" s="1" t="s">
        <v>17</v>
      </c>
      <c r="B150" s="1">
        <v>38</v>
      </c>
      <c r="C150" s="1">
        <v>944079100</v>
      </c>
      <c r="D150" s="1">
        <v>813810000</v>
      </c>
      <c r="E150" s="1">
        <f t="shared" si="21"/>
        <v>130269100</v>
      </c>
      <c r="F150" s="1">
        <f t="shared" si="22"/>
        <v>130269100</v>
      </c>
      <c r="G150" s="1">
        <f t="shared" si="23"/>
        <v>46</v>
      </c>
      <c r="H150" s="1">
        <f t="shared" si="24"/>
        <v>46</v>
      </c>
      <c r="I150" s="1">
        <f t="shared" si="25"/>
        <v>0</v>
      </c>
    </row>
    <row r="151" spans="1:9" x14ac:dyDescent="0.25">
      <c r="A151" s="1" t="s">
        <v>17</v>
      </c>
      <c r="B151" s="1">
        <v>69</v>
      </c>
      <c r="C151" s="1">
        <v>950573200</v>
      </c>
      <c r="D151" s="1">
        <v>820226300</v>
      </c>
      <c r="E151" s="1">
        <f t="shared" si="21"/>
        <v>130346900</v>
      </c>
      <c r="F151" s="1">
        <f t="shared" si="22"/>
        <v>130346900</v>
      </c>
      <c r="G151" s="1">
        <f t="shared" si="23"/>
        <v>47</v>
      </c>
      <c r="H151" s="1">
        <f t="shared" si="24"/>
        <v>47</v>
      </c>
      <c r="I151" s="1">
        <f t="shared" si="25"/>
        <v>0</v>
      </c>
    </row>
    <row r="152" spans="1:9" x14ac:dyDescent="0.25">
      <c r="A152" s="1" t="s">
        <v>17</v>
      </c>
      <c r="B152" s="1">
        <v>87</v>
      </c>
      <c r="C152" s="1">
        <v>959920000</v>
      </c>
      <c r="D152" s="1">
        <v>829378600</v>
      </c>
      <c r="E152" s="1">
        <f t="shared" si="21"/>
        <v>130541400</v>
      </c>
      <c r="F152" s="1">
        <f t="shared" si="22"/>
        <v>130541400</v>
      </c>
      <c r="G152" s="1">
        <f t="shared" si="23"/>
        <v>48</v>
      </c>
      <c r="H152" s="1">
        <f t="shared" si="24"/>
        <v>48</v>
      </c>
      <c r="I152" s="1">
        <f t="shared" si="25"/>
        <v>0</v>
      </c>
    </row>
    <row r="153" spans="1:9" x14ac:dyDescent="0.25">
      <c r="A153" s="1" t="s">
        <v>17</v>
      </c>
      <c r="B153" s="1">
        <v>58</v>
      </c>
      <c r="C153" s="1">
        <v>944978500</v>
      </c>
      <c r="D153" s="1">
        <v>814363600</v>
      </c>
      <c r="E153" s="1">
        <f t="shared" si="21"/>
        <v>130614900</v>
      </c>
      <c r="F153" s="1">
        <f t="shared" si="22"/>
        <v>130614900</v>
      </c>
      <c r="G153" s="1">
        <f t="shared" si="23"/>
        <v>49</v>
      </c>
      <c r="H153" s="1">
        <f t="shared" si="24"/>
        <v>49</v>
      </c>
      <c r="I153" s="1">
        <f t="shared" si="25"/>
        <v>0</v>
      </c>
    </row>
    <row r="154" spans="1:9" x14ac:dyDescent="0.25">
      <c r="A154" s="1" t="s">
        <v>17</v>
      </c>
      <c r="B154" s="1">
        <v>24</v>
      </c>
      <c r="C154" s="1">
        <v>948944100</v>
      </c>
      <c r="D154" s="1">
        <v>817788200</v>
      </c>
      <c r="E154" s="1">
        <f t="shared" si="21"/>
        <v>131155900</v>
      </c>
      <c r="F154" s="1">
        <f t="shared" si="22"/>
        <v>131155900</v>
      </c>
      <c r="G154" s="1">
        <f t="shared" si="23"/>
        <v>50</v>
      </c>
      <c r="H154" s="1">
        <f t="shared" si="24"/>
        <v>50</v>
      </c>
      <c r="I154" s="1">
        <f t="shared" si="25"/>
        <v>0</v>
      </c>
    </row>
    <row r="155" spans="1:9" x14ac:dyDescent="0.25">
      <c r="A155" s="1" t="s">
        <v>17</v>
      </c>
      <c r="B155" s="1">
        <v>98</v>
      </c>
      <c r="C155" s="1">
        <v>954183399</v>
      </c>
      <c r="D155" s="1">
        <v>822896300</v>
      </c>
      <c r="E155" s="1">
        <f t="shared" si="21"/>
        <v>131287099</v>
      </c>
      <c r="F155" s="1">
        <f t="shared" si="22"/>
        <v>131287099</v>
      </c>
      <c r="G155" s="1">
        <f t="shared" si="23"/>
        <v>51</v>
      </c>
      <c r="H155" s="1">
        <f t="shared" si="24"/>
        <v>51</v>
      </c>
      <c r="I155" s="1">
        <f t="shared" si="25"/>
        <v>0</v>
      </c>
    </row>
    <row r="156" spans="1:9" x14ac:dyDescent="0.25">
      <c r="A156" s="1" t="s">
        <v>17</v>
      </c>
      <c r="B156" s="1">
        <v>57</v>
      </c>
      <c r="C156" s="1">
        <v>945976101</v>
      </c>
      <c r="D156" s="1">
        <v>814479100</v>
      </c>
      <c r="E156" s="1">
        <f t="shared" si="21"/>
        <v>131497001</v>
      </c>
      <c r="F156" s="1">
        <f t="shared" si="22"/>
        <v>131497001</v>
      </c>
      <c r="G156" s="1">
        <f t="shared" si="23"/>
        <v>52</v>
      </c>
      <c r="H156" s="1">
        <f t="shared" si="24"/>
        <v>52</v>
      </c>
      <c r="I156" s="1">
        <f t="shared" si="25"/>
        <v>0</v>
      </c>
    </row>
    <row r="157" spans="1:9" x14ac:dyDescent="0.25">
      <c r="A157" s="1" t="s">
        <v>17</v>
      </c>
      <c r="B157" s="1">
        <v>79</v>
      </c>
      <c r="C157" s="1">
        <v>945611500</v>
      </c>
      <c r="D157" s="1">
        <v>813888300</v>
      </c>
      <c r="E157" s="1">
        <f t="shared" si="21"/>
        <v>131723200</v>
      </c>
      <c r="F157" s="1">
        <f t="shared" si="22"/>
        <v>131723200</v>
      </c>
      <c r="G157" s="1">
        <f t="shared" si="23"/>
        <v>53</v>
      </c>
      <c r="H157" s="1">
        <f t="shared" si="24"/>
        <v>53</v>
      </c>
      <c r="I157" s="1">
        <f t="shared" si="25"/>
        <v>0</v>
      </c>
    </row>
    <row r="158" spans="1:9" x14ac:dyDescent="0.25">
      <c r="A158" s="1" t="s">
        <v>17</v>
      </c>
      <c r="B158" s="1">
        <v>72</v>
      </c>
      <c r="C158" s="1">
        <v>948943599</v>
      </c>
      <c r="D158" s="1">
        <v>816910300</v>
      </c>
      <c r="E158" s="1">
        <f t="shared" si="21"/>
        <v>132033299</v>
      </c>
      <c r="F158" s="1">
        <f t="shared" si="22"/>
        <v>132033299</v>
      </c>
      <c r="G158" s="1">
        <f t="shared" si="23"/>
        <v>54</v>
      </c>
      <c r="H158" s="1">
        <f t="shared" si="24"/>
        <v>54</v>
      </c>
      <c r="I158" s="1">
        <f t="shared" si="25"/>
        <v>0</v>
      </c>
    </row>
    <row r="159" spans="1:9" x14ac:dyDescent="0.25">
      <c r="A159" s="1" t="s">
        <v>17</v>
      </c>
      <c r="B159" s="1">
        <v>82</v>
      </c>
      <c r="C159" s="1">
        <v>946321100</v>
      </c>
      <c r="D159" s="1">
        <v>813911600</v>
      </c>
      <c r="E159" s="1">
        <f t="shared" si="21"/>
        <v>132409500</v>
      </c>
      <c r="F159" s="1">
        <f t="shared" si="22"/>
        <v>132409500</v>
      </c>
      <c r="G159" s="1">
        <f t="shared" si="23"/>
        <v>55</v>
      </c>
      <c r="H159" s="1">
        <f t="shared" si="24"/>
        <v>55</v>
      </c>
      <c r="I159" s="1">
        <f t="shared" si="25"/>
        <v>0</v>
      </c>
    </row>
    <row r="160" spans="1:9" x14ac:dyDescent="0.25">
      <c r="A160" s="1" t="s">
        <v>17</v>
      </c>
      <c r="B160" s="1">
        <v>61</v>
      </c>
      <c r="C160" s="1">
        <v>947893600</v>
      </c>
      <c r="D160" s="1">
        <v>814452100</v>
      </c>
      <c r="E160" s="1">
        <f t="shared" si="21"/>
        <v>133441500</v>
      </c>
      <c r="F160" s="1">
        <f t="shared" si="22"/>
        <v>133441500</v>
      </c>
      <c r="G160" s="1">
        <f t="shared" si="23"/>
        <v>56</v>
      </c>
      <c r="H160" s="1">
        <f t="shared" si="24"/>
        <v>56</v>
      </c>
      <c r="I160" s="1">
        <f t="shared" si="25"/>
        <v>0</v>
      </c>
    </row>
    <row r="161" spans="1:9" x14ac:dyDescent="0.25">
      <c r="A161" s="1" t="s">
        <v>17</v>
      </c>
      <c r="B161" s="1">
        <v>9</v>
      </c>
      <c r="C161" s="1">
        <v>947793801</v>
      </c>
      <c r="D161" s="1">
        <v>814051700</v>
      </c>
      <c r="E161" s="1">
        <f t="shared" si="21"/>
        <v>133742101</v>
      </c>
      <c r="F161" s="1">
        <f t="shared" si="22"/>
        <v>133742101</v>
      </c>
      <c r="G161" s="1">
        <f t="shared" si="23"/>
        <v>57</v>
      </c>
      <c r="H161" s="1">
        <f t="shared" si="24"/>
        <v>57</v>
      </c>
      <c r="I161" s="1">
        <f t="shared" si="25"/>
        <v>0</v>
      </c>
    </row>
    <row r="162" spans="1:9" x14ac:dyDescent="0.25">
      <c r="A162" s="1" t="s">
        <v>17</v>
      </c>
      <c r="B162" s="1">
        <v>83</v>
      </c>
      <c r="C162" s="1">
        <v>965214601</v>
      </c>
      <c r="D162" s="1">
        <v>831106500</v>
      </c>
      <c r="E162" s="1">
        <f t="shared" si="21"/>
        <v>134108101</v>
      </c>
      <c r="F162" s="1">
        <f t="shared" si="22"/>
        <v>134108101</v>
      </c>
      <c r="G162" s="1">
        <f t="shared" si="23"/>
        <v>58</v>
      </c>
      <c r="H162" s="1">
        <f t="shared" si="24"/>
        <v>58</v>
      </c>
      <c r="I162" s="1">
        <f t="shared" si="25"/>
        <v>0</v>
      </c>
    </row>
    <row r="163" spans="1:9" x14ac:dyDescent="0.25">
      <c r="A163" s="1" t="s">
        <v>17</v>
      </c>
      <c r="B163" s="1">
        <v>18</v>
      </c>
      <c r="C163" s="1">
        <v>948217700</v>
      </c>
      <c r="D163" s="1">
        <v>813773700</v>
      </c>
      <c r="E163" s="1">
        <f t="shared" si="21"/>
        <v>134444000</v>
      </c>
      <c r="F163" s="1">
        <f t="shared" si="22"/>
        <v>134444000</v>
      </c>
      <c r="G163" s="1">
        <f t="shared" si="23"/>
        <v>59</v>
      </c>
      <c r="H163" s="1">
        <f t="shared" si="24"/>
        <v>59</v>
      </c>
      <c r="I163" s="1">
        <f t="shared" si="25"/>
        <v>0</v>
      </c>
    </row>
    <row r="164" spans="1:9" x14ac:dyDescent="0.25">
      <c r="A164" s="1" t="s">
        <v>17</v>
      </c>
      <c r="B164" s="1">
        <v>55</v>
      </c>
      <c r="C164" s="1">
        <v>948665299</v>
      </c>
      <c r="D164" s="1">
        <v>813929500</v>
      </c>
      <c r="E164" s="1">
        <f t="shared" si="21"/>
        <v>134735799</v>
      </c>
      <c r="F164" s="1">
        <f t="shared" si="22"/>
        <v>134735799</v>
      </c>
      <c r="G164" s="1">
        <f t="shared" si="23"/>
        <v>60</v>
      </c>
      <c r="H164" s="1">
        <f t="shared" si="24"/>
        <v>60</v>
      </c>
      <c r="I164" s="1">
        <f t="shared" si="25"/>
        <v>0</v>
      </c>
    </row>
    <row r="165" spans="1:9" x14ac:dyDescent="0.25">
      <c r="A165" s="1" t="s">
        <v>17</v>
      </c>
      <c r="B165" s="1">
        <v>10</v>
      </c>
      <c r="C165" s="1">
        <v>962710100</v>
      </c>
      <c r="D165" s="1">
        <v>826825700</v>
      </c>
      <c r="E165" s="1">
        <f t="shared" si="21"/>
        <v>135884400</v>
      </c>
      <c r="F165" s="1">
        <f t="shared" si="22"/>
        <v>135884400</v>
      </c>
      <c r="G165" s="1">
        <f t="shared" si="23"/>
        <v>61</v>
      </c>
      <c r="H165" s="1">
        <f t="shared" si="24"/>
        <v>61</v>
      </c>
      <c r="I165" s="1">
        <f t="shared" si="25"/>
        <v>0</v>
      </c>
    </row>
    <row r="166" spans="1:9" x14ac:dyDescent="0.25">
      <c r="A166" s="1" t="s">
        <v>17</v>
      </c>
      <c r="B166" s="1">
        <v>59</v>
      </c>
      <c r="C166" s="1">
        <v>950157700</v>
      </c>
      <c r="D166" s="1">
        <v>814144200</v>
      </c>
      <c r="E166" s="1">
        <f t="shared" si="21"/>
        <v>136013500</v>
      </c>
      <c r="F166" s="1">
        <f t="shared" si="22"/>
        <v>136013500</v>
      </c>
      <c r="G166" s="1">
        <f t="shared" si="23"/>
        <v>62</v>
      </c>
      <c r="H166" s="1">
        <f t="shared" si="24"/>
        <v>62</v>
      </c>
      <c r="I166" s="1">
        <f t="shared" si="25"/>
        <v>0</v>
      </c>
    </row>
    <row r="167" spans="1:9" x14ac:dyDescent="0.25">
      <c r="A167" s="1" t="s">
        <v>17</v>
      </c>
      <c r="B167" s="1">
        <v>29</v>
      </c>
      <c r="C167" s="1">
        <v>950750601</v>
      </c>
      <c r="D167" s="1">
        <v>813745200</v>
      </c>
      <c r="E167" s="1">
        <f t="shared" si="21"/>
        <v>137005401</v>
      </c>
      <c r="F167" s="1">
        <f t="shared" si="22"/>
        <v>137005401</v>
      </c>
      <c r="G167" s="1">
        <f t="shared" si="23"/>
        <v>63</v>
      </c>
      <c r="H167" s="1">
        <f t="shared" si="24"/>
        <v>63</v>
      </c>
      <c r="I167" s="1">
        <f t="shared" si="25"/>
        <v>0</v>
      </c>
    </row>
    <row r="168" spans="1:9" x14ac:dyDescent="0.25">
      <c r="A168" s="1" t="s">
        <v>17</v>
      </c>
      <c r="B168" s="1">
        <v>56</v>
      </c>
      <c r="C168" s="1">
        <v>951157600</v>
      </c>
      <c r="D168" s="1">
        <v>813789100</v>
      </c>
      <c r="E168" s="1">
        <f t="shared" si="21"/>
        <v>137368500</v>
      </c>
      <c r="F168" s="1">
        <f t="shared" si="22"/>
        <v>137368500</v>
      </c>
      <c r="G168" s="1">
        <f t="shared" si="23"/>
        <v>64</v>
      </c>
      <c r="H168" s="1">
        <f t="shared" si="24"/>
        <v>64</v>
      </c>
      <c r="I168" s="1">
        <f t="shared" si="25"/>
        <v>0</v>
      </c>
    </row>
    <row r="169" spans="1:9" x14ac:dyDescent="0.25">
      <c r="A169" s="1" t="s">
        <v>17</v>
      </c>
      <c r="B169" s="1">
        <v>15</v>
      </c>
      <c r="C169" s="1">
        <v>951466000</v>
      </c>
      <c r="D169" s="1">
        <v>813823800</v>
      </c>
      <c r="E169" s="1">
        <f t="shared" ref="E169:E200" si="26">C169-D169</f>
        <v>137642200</v>
      </c>
      <c r="F169" s="1">
        <f t="shared" ref="F169:F200" si="27">ABS(E169)</f>
        <v>137642200</v>
      </c>
      <c r="G169" s="1">
        <f t="shared" ref="G169:G200" si="28">_xlfn.RANK.AVG(F169,$F$105:$F$204,1)</f>
        <v>65</v>
      </c>
      <c r="H169" s="1">
        <f t="shared" ref="H169:H200" si="29">IF(E169&gt;0,G169,0)</f>
        <v>65</v>
      </c>
      <c r="I169" s="1">
        <f t="shared" ref="I169:I204" si="30">IF(E169&lt;0,G169,0)</f>
        <v>0</v>
      </c>
    </row>
    <row r="170" spans="1:9" x14ac:dyDescent="0.25">
      <c r="A170" s="1" t="s">
        <v>17</v>
      </c>
      <c r="B170" s="1">
        <v>34</v>
      </c>
      <c r="C170" s="1">
        <v>951477200</v>
      </c>
      <c r="D170" s="1">
        <v>813789900</v>
      </c>
      <c r="E170" s="1">
        <f t="shared" si="26"/>
        <v>137687300</v>
      </c>
      <c r="F170" s="1">
        <f t="shared" si="27"/>
        <v>137687300</v>
      </c>
      <c r="G170" s="1">
        <f t="shared" si="28"/>
        <v>66</v>
      </c>
      <c r="H170" s="1">
        <f t="shared" si="29"/>
        <v>66</v>
      </c>
      <c r="I170" s="1">
        <f t="shared" si="30"/>
        <v>0</v>
      </c>
    </row>
    <row r="171" spans="1:9" x14ac:dyDescent="0.25">
      <c r="A171" s="1" t="s">
        <v>17</v>
      </c>
      <c r="B171" s="1">
        <v>36</v>
      </c>
      <c r="C171" s="1">
        <v>953535000</v>
      </c>
      <c r="D171" s="1">
        <v>814500500</v>
      </c>
      <c r="E171" s="1">
        <f t="shared" si="26"/>
        <v>139034500</v>
      </c>
      <c r="F171" s="1">
        <f t="shared" si="27"/>
        <v>139034500</v>
      </c>
      <c r="G171" s="1">
        <f t="shared" si="28"/>
        <v>67</v>
      </c>
      <c r="H171" s="1">
        <f t="shared" si="29"/>
        <v>67</v>
      </c>
      <c r="I171" s="1">
        <f t="shared" si="30"/>
        <v>0</v>
      </c>
    </row>
    <row r="172" spans="1:9" x14ac:dyDescent="0.25">
      <c r="A172" s="1" t="s">
        <v>17</v>
      </c>
      <c r="B172" s="1">
        <v>23</v>
      </c>
      <c r="C172" s="1">
        <v>953187500</v>
      </c>
      <c r="D172" s="1">
        <v>813895800</v>
      </c>
      <c r="E172" s="1">
        <f t="shared" si="26"/>
        <v>139291700</v>
      </c>
      <c r="F172" s="1">
        <f t="shared" si="27"/>
        <v>139291700</v>
      </c>
      <c r="G172" s="1">
        <f t="shared" si="28"/>
        <v>68</v>
      </c>
      <c r="H172" s="1">
        <f t="shared" si="29"/>
        <v>68</v>
      </c>
      <c r="I172" s="1">
        <f t="shared" si="30"/>
        <v>0</v>
      </c>
    </row>
    <row r="173" spans="1:9" x14ac:dyDescent="0.25">
      <c r="A173" s="1" t="s">
        <v>17</v>
      </c>
      <c r="B173" s="1">
        <v>97</v>
      </c>
      <c r="C173" s="1">
        <v>955968200</v>
      </c>
      <c r="D173" s="1">
        <v>816629200</v>
      </c>
      <c r="E173" s="1">
        <f t="shared" si="26"/>
        <v>139339000</v>
      </c>
      <c r="F173" s="1">
        <f t="shared" si="27"/>
        <v>139339000</v>
      </c>
      <c r="G173" s="1">
        <f t="shared" si="28"/>
        <v>69</v>
      </c>
      <c r="H173" s="1">
        <f t="shared" si="29"/>
        <v>69</v>
      </c>
      <c r="I173" s="1">
        <f t="shared" si="30"/>
        <v>0</v>
      </c>
    </row>
    <row r="174" spans="1:9" x14ac:dyDescent="0.25">
      <c r="A174" s="1" t="s">
        <v>17</v>
      </c>
      <c r="B174" s="1">
        <v>50</v>
      </c>
      <c r="C174" s="1">
        <v>954917500</v>
      </c>
      <c r="D174" s="1">
        <v>815480000</v>
      </c>
      <c r="E174" s="1">
        <f t="shared" si="26"/>
        <v>139437500</v>
      </c>
      <c r="F174" s="1">
        <f t="shared" si="27"/>
        <v>139437500</v>
      </c>
      <c r="G174" s="1">
        <f t="shared" si="28"/>
        <v>70</v>
      </c>
      <c r="H174" s="1">
        <f t="shared" si="29"/>
        <v>70</v>
      </c>
      <c r="I174" s="1">
        <f t="shared" si="30"/>
        <v>0</v>
      </c>
    </row>
    <row r="175" spans="1:9" x14ac:dyDescent="0.25">
      <c r="A175" s="1" t="s">
        <v>17</v>
      </c>
      <c r="B175" s="1">
        <v>76</v>
      </c>
      <c r="C175" s="1">
        <v>959603500</v>
      </c>
      <c r="D175" s="1">
        <v>820094600</v>
      </c>
      <c r="E175" s="1">
        <f t="shared" si="26"/>
        <v>139508900</v>
      </c>
      <c r="F175" s="1">
        <f t="shared" si="27"/>
        <v>139508900</v>
      </c>
      <c r="G175" s="1">
        <f t="shared" si="28"/>
        <v>71</v>
      </c>
      <c r="H175" s="1">
        <f t="shared" si="29"/>
        <v>71</v>
      </c>
      <c r="I175" s="1">
        <f t="shared" si="30"/>
        <v>0</v>
      </c>
    </row>
    <row r="176" spans="1:9" x14ac:dyDescent="0.25">
      <c r="A176" s="1" t="s">
        <v>17</v>
      </c>
      <c r="B176" s="1">
        <v>16</v>
      </c>
      <c r="C176" s="1">
        <v>975092299</v>
      </c>
      <c r="D176" s="1">
        <v>833553100</v>
      </c>
      <c r="E176" s="1">
        <f t="shared" si="26"/>
        <v>141539199</v>
      </c>
      <c r="F176" s="1">
        <f t="shared" si="27"/>
        <v>141539199</v>
      </c>
      <c r="G176" s="1">
        <f t="shared" si="28"/>
        <v>72</v>
      </c>
      <c r="H176" s="1">
        <f t="shared" si="29"/>
        <v>72</v>
      </c>
      <c r="I176" s="1">
        <f t="shared" si="30"/>
        <v>0</v>
      </c>
    </row>
    <row r="177" spans="1:9" x14ac:dyDescent="0.25">
      <c r="A177" s="1" t="s">
        <v>17</v>
      </c>
      <c r="B177" s="1">
        <v>86</v>
      </c>
      <c r="C177" s="1">
        <v>958094400</v>
      </c>
      <c r="D177" s="1">
        <v>816501800</v>
      </c>
      <c r="E177" s="1">
        <f t="shared" si="26"/>
        <v>141592600</v>
      </c>
      <c r="F177" s="1">
        <f t="shared" si="27"/>
        <v>141592600</v>
      </c>
      <c r="G177" s="1">
        <f t="shared" si="28"/>
        <v>73</v>
      </c>
      <c r="H177" s="1">
        <f t="shared" si="29"/>
        <v>73</v>
      </c>
      <c r="I177" s="1">
        <f t="shared" si="30"/>
        <v>0</v>
      </c>
    </row>
    <row r="178" spans="1:9" x14ac:dyDescent="0.25">
      <c r="A178" s="1" t="s">
        <v>17</v>
      </c>
      <c r="B178" s="1">
        <v>32</v>
      </c>
      <c r="C178" s="1">
        <v>956619300</v>
      </c>
      <c r="D178" s="1">
        <v>814480000</v>
      </c>
      <c r="E178" s="1">
        <f t="shared" si="26"/>
        <v>142139300</v>
      </c>
      <c r="F178" s="1">
        <f t="shared" si="27"/>
        <v>142139300</v>
      </c>
      <c r="G178" s="1">
        <f t="shared" si="28"/>
        <v>74</v>
      </c>
      <c r="H178" s="1">
        <f t="shared" si="29"/>
        <v>74</v>
      </c>
      <c r="I178" s="1">
        <f t="shared" si="30"/>
        <v>0</v>
      </c>
    </row>
    <row r="179" spans="1:9" x14ac:dyDescent="0.25">
      <c r="A179" s="1" t="s">
        <v>17</v>
      </c>
      <c r="B179" s="1">
        <v>7</v>
      </c>
      <c r="C179" s="1">
        <v>959261000</v>
      </c>
      <c r="D179" s="1">
        <v>817008900</v>
      </c>
      <c r="E179" s="1">
        <f t="shared" si="26"/>
        <v>142252100</v>
      </c>
      <c r="F179" s="1">
        <f t="shared" si="27"/>
        <v>142252100</v>
      </c>
      <c r="G179" s="1">
        <f t="shared" si="28"/>
        <v>75</v>
      </c>
      <c r="H179" s="1">
        <f t="shared" si="29"/>
        <v>75</v>
      </c>
      <c r="I179" s="1">
        <f t="shared" si="30"/>
        <v>0</v>
      </c>
    </row>
    <row r="180" spans="1:9" x14ac:dyDescent="0.25">
      <c r="A180" s="1" t="s">
        <v>17</v>
      </c>
      <c r="B180" s="1">
        <v>14</v>
      </c>
      <c r="C180" s="1">
        <v>957144400</v>
      </c>
      <c r="D180" s="1">
        <v>814249700</v>
      </c>
      <c r="E180" s="1">
        <f t="shared" si="26"/>
        <v>142894700</v>
      </c>
      <c r="F180" s="1">
        <f t="shared" si="27"/>
        <v>142894700</v>
      </c>
      <c r="G180" s="1">
        <f t="shared" si="28"/>
        <v>76</v>
      </c>
      <c r="H180" s="1">
        <f t="shared" si="29"/>
        <v>76</v>
      </c>
      <c r="I180" s="1">
        <f t="shared" si="30"/>
        <v>0</v>
      </c>
    </row>
    <row r="181" spans="1:9" x14ac:dyDescent="0.25">
      <c r="A181" s="1" t="s">
        <v>17</v>
      </c>
      <c r="B181" s="1">
        <v>12</v>
      </c>
      <c r="C181" s="1">
        <v>957614000</v>
      </c>
      <c r="D181" s="1">
        <v>814699100</v>
      </c>
      <c r="E181" s="1">
        <f t="shared" si="26"/>
        <v>142914900</v>
      </c>
      <c r="F181" s="1">
        <f t="shared" si="27"/>
        <v>142914900</v>
      </c>
      <c r="G181" s="1">
        <f t="shared" si="28"/>
        <v>77</v>
      </c>
      <c r="H181" s="1">
        <f t="shared" si="29"/>
        <v>77</v>
      </c>
      <c r="I181" s="1">
        <f t="shared" si="30"/>
        <v>0</v>
      </c>
    </row>
    <row r="182" spans="1:9" x14ac:dyDescent="0.25">
      <c r="A182" s="1" t="s">
        <v>17</v>
      </c>
      <c r="B182" s="1">
        <v>52</v>
      </c>
      <c r="C182" s="1">
        <v>959666601</v>
      </c>
      <c r="D182" s="1">
        <v>816685600</v>
      </c>
      <c r="E182" s="1">
        <f t="shared" si="26"/>
        <v>142981001</v>
      </c>
      <c r="F182" s="1">
        <f t="shared" si="27"/>
        <v>142981001</v>
      </c>
      <c r="G182" s="1">
        <f t="shared" si="28"/>
        <v>78</v>
      </c>
      <c r="H182" s="1">
        <f t="shared" si="29"/>
        <v>78</v>
      </c>
      <c r="I182" s="1">
        <f t="shared" si="30"/>
        <v>0</v>
      </c>
    </row>
    <row r="183" spans="1:9" x14ac:dyDescent="0.25">
      <c r="A183" s="1" t="s">
        <v>17</v>
      </c>
      <c r="B183" s="1">
        <v>28</v>
      </c>
      <c r="C183" s="1">
        <v>961708801</v>
      </c>
      <c r="D183" s="1">
        <v>817022900</v>
      </c>
      <c r="E183" s="1">
        <f t="shared" si="26"/>
        <v>144685901</v>
      </c>
      <c r="F183" s="1">
        <f t="shared" si="27"/>
        <v>144685901</v>
      </c>
      <c r="G183" s="1">
        <f t="shared" si="28"/>
        <v>79</v>
      </c>
      <c r="H183" s="1">
        <f t="shared" si="29"/>
        <v>79</v>
      </c>
      <c r="I183" s="1">
        <f t="shared" si="30"/>
        <v>0</v>
      </c>
    </row>
    <row r="184" spans="1:9" x14ac:dyDescent="0.25">
      <c r="A184" s="1" t="s">
        <v>17</v>
      </c>
      <c r="B184" s="1">
        <v>22</v>
      </c>
      <c r="C184" s="1">
        <v>959089001</v>
      </c>
      <c r="D184" s="1">
        <v>813706500</v>
      </c>
      <c r="E184" s="1">
        <f t="shared" si="26"/>
        <v>145382501</v>
      </c>
      <c r="F184" s="1">
        <f t="shared" si="27"/>
        <v>145382501</v>
      </c>
      <c r="G184" s="1">
        <f t="shared" si="28"/>
        <v>80</v>
      </c>
      <c r="H184" s="1">
        <f t="shared" si="29"/>
        <v>80</v>
      </c>
      <c r="I184" s="1">
        <f t="shared" si="30"/>
        <v>0</v>
      </c>
    </row>
    <row r="185" spans="1:9" x14ac:dyDescent="0.25">
      <c r="A185" s="1" t="s">
        <v>17</v>
      </c>
      <c r="B185" s="1">
        <v>35</v>
      </c>
      <c r="C185" s="1">
        <v>959134700</v>
      </c>
      <c r="D185" s="1">
        <v>813684800</v>
      </c>
      <c r="E185" s="1">
        <f t="shared" si="26"/>
        <v>145449900</v>
      </c>
      <c r="F185" s="1">
        <f t="shared" si="27"/>
        <v>145449900</v>
      </c>
      <c r="G185" s="1">
        <f t="shared" si="28"/>
        <v>81</v>
      </c>
      <c r="H185" s="1">
        <f t="shared" si="29"/>
        <v>81</v>
      </c>
      <c r="I185" s="1">
        <f t="shared" si="30"/>
        <v>0</v>
      </c>
    </row>
    <row r="186" spans="1:9" x14ac:dyDescent="0.25">
      <c r="A186" s="1" t="s">
        <v>17</v>
      </c>
      <c r="B186" s="1">
        <v>77</v>
      </c>
      <c r="C186" s="1">
        <v>961304200</v>
      </c>
      <c r="D186" s="1">
        <v>814293100</v>
      </c>
      <c r="E186" s="1">
        <f t="shared" si="26"/>
        <v>147011100</v>
      </c>
      <c r="F186" s="1">
        <f t="shared" si="27"/>
        <v>147011100</v>
      </c>
      <c r="G186" s="1">
        <f t="shared" si="28"/>
        <v>82</v>
      </c>
      <c r="H186" s="1">
        <f t="shared" si="29"/>
        <v>82</v>
      </c>
      <c r="I186" s="1">
        <f t="shared" si="30"/>
        <v>0</v>
      </c>
    </row>
    <row r="187" spans="1:9" x14ac:dyDescent="0.25">
      <c r="A187" s="1" t="s">
        <v>17</v>
      </c>
      <c r="B187" s="1">
        <v>11</v>
      </c>
      <c r="C187" s="1">
        <v>967455900</v>
      </c>
      <c r="D187" s="1">
        <v>816616900</v>
      </c>
      <c r="E187" s="1">
        <f t="shared" si="26"/>
        <v>150839000</v>
      </c>
      <c r="F187" s="1">
        <f t="shared" si="27"/>
        <v>150839000</v>
      </c>
      <c r="G187" s="1">
        <f t="shared" si="28"/>
        <v>83</v>
      </c>
      <c r="H187" s="1">
        <f t="shared" si="29"/>
        <v>83</v>
      </c>
      <c r="I187" s="1">
        <f t="shared" si="30"/>
        <v>0</v>
      </c>
    </row>
    <row r="188" spans="1:9" x14ac:dyDescent="0.25">
      <c r="A188" s="1" t="s">
        <v>17</v>
      </c>
      <c r="B188" s="1">
        <v>17</v>
      </c>
      <c r="C188" s="1">
        <v>964828500</v>
      </c>
      <c r="D188" s="1">
        <v>813899900</v>
      </c>
      <c r="E188" s="1">
        <f t="shared" si="26"/>
        <v>150928600</v>
      </c>
      <c r="F188" s="1">
        <f t="shared" si="27"/>
        <v>150928600</v>
      </c>
      <c r="G188" s="1">
        <f t="shared" si="28"/>
        <v>84</v>
      </c>
      <c r="H188" s="1">
        <f t="shared" si="29"/>
        <v>84</v>
      </c>
      <c r="I188" s="1">
        <f t="shared" si="30"/>
        <v>0</v>
      </c>
    </row>
    <row r="189" spans="1:9" x14ac:dyDescent="0.25">
      <c r="A189" s="1" t="s">
        <v>17</v>
      </c>
      <c r="B189" s="1">
        <v>89</v>
      </c>
      <c r="C189" s="1">
        <v>968161401</v>
      </c>
      <c r="D189" s="1">
        <v>817047700</v>
      </c>
      <c r="E189" s="1">
        <f t="shared" si="26"/>
        <v>151113701</v>
      </c>
      <c r="F189" s="1">
        <f t="shared" si="27"/>
        <v>151113701</v>
      </c>
      <c r="G189" s="1">
        <f t="shared" si="28"/>
        <v>85</v>
      </c>
      <c r="H189" s="1">
        <f t="shared" si="29"/>
        <v>85</v>
      </c>
      <c r="I189" s="1">
        <f t="shared" si="30"/>
        <v>0</v>
      </c>
    </row>
    <row r="190" spans="1:9" x14ac:dyDescent="0.25">
      <c r="A190" s="1" t="s">
        <v>17</v>
      </c>
      <c r="B190" s="1">
        <v>31</v>
      </c>
      <c r="C190" s="1">
        <v>966711399</v>
      </c>
      <c r="D190" s="1">
        <v>813787400</v>
      </c>
      <c r="E190" s="1">
        <f t="shared" si="26"/>
        <v>152923999</v>
      </c>
      <c r="F190" s="1">
        <f t="shared" si="27"/>
        <v>152923999</v>
      </c>
      <c r="G190" s="1">
        <f t="shared" si="28"/>
        <v>86</v>
      </c>
      <c r="H190" s="1">
        <f t="shared" si="29"/>
        <v>86</v>
      </c>
      <c r="I190" s="1">
        <f t="shared" si="30"/>
        <v>0</v>
      </c>
    </row>
    <row r="191" spans="1:9" x14ac:dyDescent="0.25">
      <c r="A191" s="1" t="s">
        <v>17</v>
      </c>
      <c r="B191" s="1">
        <v>33</v>
      </c>
      <c r="C191" s="1">
        <v>967201800</v>
      </c>
      <c r="D191" s="1">
        <v>813930500</v>
      </c>
      <c r="E191" s="1">
        <f t="shared" si="26"/>
        <v>153271300</v>
      </c>
      <c r="F191" s="1">
        <f t="shared" si="27"/>
        <v>153271300</v>
      </c>
      <c r="G191" s="1">
        <f t="shared" si="28"/>
        <v>87</v>
      </c>
      <c r="H191" s="1">
        <f t="shared" si="29"/>
        <v>87</v>
      </c>
      <c r="I191" s="1">
        <f t="shared" si="30"/>
        <v>0</v>
      </c>
    </row>
    <row r="192" spans="1:9" x14ac:dyDescent="0.25">
      <c r="A192" s="1" t="s">
        <v>17</v>
      </c>
      <c r="B192" s="1">
        <v>80</v>
      </c>
      <c r="C192" s="1">
        <v>979381700</v>
      </c>
      <c r="D192" s="1">
        <v>824941500</v>
      </c>
      <c r="E192" s="1">
        <f t="shared" si="26"/>
        <v>154440200</v>
      </c>
      <c r="F192" s="1">
        <f t="shared" si="27"/>
        <v>154440200</v>
      </c>
      <c r="G192" s="1">
        <f t="shared" si="28"/>
        <v>88</v>
      </c>
      <c r="H192" s="1">
        <f t="shared" si="29"/>
        <v>88</v>
      </c>
      <c r="I192" s="1">
        <f t="shared" si="30"/>
        <v>0</v>
      </c>
    </row>
    <row r="193" spans="1:20" x14ac:dyDescent="0.25">
      <c r="A193" s="1" t="s">
        <v>17</v>
      </c>
      <c r="B193" s="1">
        <v>25</v>
      </c>
      <c r="C193" s="1">
        <v>970380800</v>
      </c>
      <c r="D193" s="1">
        <v>813963800</v>
      </c>
      <c r="E193" s="1">
        <f t="shared" si="26"/>
        <v>156417000</v>
      </c>
      <c r="F193" s="1">
        <f t="shared" si="27"/>
        <v>156417000</v>
      </c>
      <c r="G193" s="1">
        <f t="shared" si="28"/>
        <v>89</v>
      </c>
      <c r="H193" s="1">
        <f t="shared" si="29"/>
        <v>89</v>
      </c>
      <c r="I193" s="1">
        <f t="shared" si="30"/>
        <v>0</v>
      </c>
    </row>
    <row r="194" spans="1:20" x14ac:dyDescent="0.25">
      <c r="A194" s="1" t="s">
        <v>17</v>
      </c>
      <c r="B194" s="1">
        <v>5</v>
      </c>
      <c r="C194" s="1">
        <v>976118200</v>
      </c>
      <c r="D194" s="1">
        <v>819371500</v>
      </c>
      <c r="E194" s="1">
        <f t="shared" si="26"/>
        <v>156746700</v>
      </c>
      <c r="F194" s="1">
        <f t="shared" si="27"/>
        <v>156746700</v>
      </c>
      <c r="G194" s="1">
        <f t="shared" si="28"/>
        <v>90</v>
      </c>
      <c r="H194" s="1">
        <f t="shared" si="29"/>
        <v>90</v>
      </c>
      <c r="I194" s="1">
        <f t="shared" si="30"/>
        <v>0</v>
      </c>
    </row>
    <row r="195" spans="1:20" x14ac:dyDescent="0.25">
      <c r="A195" s="1" t="s">
        <v>17</v>
      </c>
      <c r="B195" s="1">
        <v>1</v>
      </c>
      <c r="C195" s="1">
        <v>973594800</v>
      </c>
      <c r="D195" s="1">
        <v>813753600</v>
      </c>
      <c r="E195" s="1">
        <f t="shared" si="26"/>
        <v>159841200</v>
      </c>
      <c r="F195" s="1">
        <f t="shared" si="27"/>
        <v>159841200</v>
      </c>
      <c r="G195" s="1">
        <f t="shared" si="28"/>
        <v>91</v>
      </c>
      <c r="H195" s="1">
        <f t="shared" si="29"/>
        <v>91</v>
      </c>
      <c r="I195" s="1">
        <f t="shared" si="30"/>
        <v>0</v>
      </c>
    </row>
    <row r="196" spans="1:20" x14ac:dyDescent="0.25">
      <c r="A196" s="1" t="s">
        <v>17</v>
      </c>
      <c r="B196" s="1">
        <v>21</v>
      </c>
      <c r="C196" s="1">
        <v>973797499</v>
      </c>
      <c r="D196" s="1">
        <v>813798900</v>
      </c>
      <c r="E196" s="1">
        <f t="shared" si="26"/>
        <v>159998599</v>
      </c>
      <c r="F196" s="1">
        <f t="shared" si="27"/>
        <v>159998599</v>
      </c>
      <c r="G196" s="1">
        <f t="shared" si="28"/>
        <v>92</v>
      </c>
      <c r="H196" s="1">
        <f t="shared" si="29"/>
        <v>92</v>
      </c>
      <c r="I196" s="1">
        <f t="shared" si="30"/>
        <v>0</v>
      </c>
    </row>
    <row r="197" spans="1:20" x14ac:dyDescent="0.25">
      <c r="A197" s="1" t="s">
        <v>17</v>
      </c>
      <c r="B197" s="1">
        <v>8</v>
      </c>
      <c r="C197" s="1">
        <v>979126700</v>
      </c>
      <c r="D197" s="1">
        <v>813840100</v>
      </c>
      <c r="E197" s="1">
        <f t="shared" si="26"/>
        <v>165286600</v>
      </c>
      <c r="F197" s="1">
        <f t="shared" si="27"/>
        <v>165286600</v>
      </c>
      <c r="G197" s="1">
        <f t="shared" si="28"/>
        <v>93</v>
      </c>
      <c r="H197" s="1">
        <f t="shared" si="29"/>
        <v>93</v>
      </c>
      <c r="I197" s="1">
        <f t="shared" si="30"/>
        <v>0</v>
      </c>
    </row>
    <row r="198" spans="1:20" x14ac:dyDescent="0.25">
      <c r="A198" s="1" t="s">
        <v>17</v>
      </c>
      <c r="B198" s="1">
        <v>27</v>
      </c>
      <c r="C198" s="1">
        <v>980796500</v>
      </c>
      <c r="D198" s="1">
        <v>814720500</v>
      </c>
      <c r="E198" s="1">
        <f t="shared" si="26"/>
        <v>166076000</v>
      </c>
      <c r="F198" s="1">
        <f t="shared" si="27"/>
        <v>166076000</v>
      </c>
      <c r="G198" s="1">
        <f t="shared" si="28"/>
        <v>94</v>
      </c>
      <c r="H198" s="1">
        <f t="shared" si="29"/>
        <v>94</v>
      </c>
      <c r="I198" s="1">
        <f t="shared" si="30"/>
        <v>0</v>
      </c>
    </row>
    <row r="199" spans="1:20" x14ac:dyDescent="0.25">
      <c r="A199" s="1" t="s">
        <v>17</v>
      </c>
      <c r="B199" s="1">
        <v>20</v>
      </c>
      <c r="C199" s="1">
        <v>981318300</v>
      </c>
      <c r="D199" s="1">
        <v>813832800</v>
      </c>
      <c r="E199" s="1">
        <f t="shared" si="26"/>
        <v>167485500</v>
      </c>
      <c r="F199" s="1">
        <f t="shared" si="27"/>
        <v>167485500</v>
      </c>
      <c r="G199" s="1">
        <f t="shared" si="28"/>
        <v>95</v>
      </c>
      <c r="H199" s="1">
        <f t="shared" si="29"/>
        <v>95</v>
      </c>
      <c r="I199" s="1">
        <f t="shared" si="30"/>
        <v>0</v>
      </c>
    </row>
    <row r="200" spans="1:20" x14ac:dyDescent="0.25">
      <c r="A200" s="1" t="s">
        <v>17</v>
      </c>
      <c r="B200" s="1">
        <v>6</v>
      </c>
      <c r="C200" s="1">
        <v>982637400</v>
      </c>
      <c r="D200" s="1">
        <v>814148800</v>
      </c>
      <c r="E200" s="1">
        <f t="shared" si="26"/>
        <v>168488600</v>
      </c>
      <c r="F200" s="1">
        <f t="shared" si="27"/>
        <v>168488600</v>
      </c>
      <c r="G200" s="1">
        <f t="shared" si="28"/>
        <v>96</v>
      </c>
      <c r="H200" s="1">
        <f t="shared" si="29"/>
        <v>96</v>
      </c>
      <c r="I200" s="1">
        <f t="shared" si="30"/>
        <v>0</v>
      </c>
    </row>
    <row r="201" spans="1:20" x14ac:dyDescent="0.25">
      <c r="A201" s="1" t="s">
        <v>17</v>
      </c>
      <c r="B201" s="1">
        <v>19</v>
      </c>
      <c r="C201" s="1">
        <v>982444799</v>
      </c>
      <c r="D201" s="1">
        <v>813889300</v>
      </c>
      <c r="E201" s="1">
        <f t="shared" ref="E201:E232" si="31">C201-D201</f>
        <v>168555499</v>
      </c>
      <c r="F201" s="1">
        <f t="shared" ref="F201:F232" si="32">ABS(E201)</f>
        <v>168555499</v>
      </c>
      <c r="G201" s="1">
        <f t="shared" ref="G201:G232" si="33">_xlfn.RANK.AVG(F201,$F$105:$F$204,1)</f>
        <v>97</v>
      </c>
      <c r="H201" s="1">
        <f t="shared" ref="H201:H232" si="34">IF(E201&gt;0,G201,0)</f>
        <v>97</v>
      </c>
      <c r="I201" s="1">
        <f t="shared" si="30"/>
        <v>0</v>
      </c>
    </row>
    <row r="202" spans="1:20" x14ac:dyDescent="0.25">
      <c r="A202" s="1" t="s">
        <v>17</v>
      </c>
      <c r="B202" s="1">
        <v>26</v>
      </c>
      <c r="C202" s="1">
        <v>983543301</v>
      </c>
      <c r="D202" s="1">
        <v>813862000</v>
      </c>
      <c r="E202" s="1">
        <f t="shared" si="31"/>
        <v>169681301</v>
      </c>
      <c r="F202" s="1">
        <f t="shared" si="32"/>
        <v>169681301</v>
      </c>
      <c r="G202" s="1">
        <f t="shared" si="33"/>
        <v>98</v>
      </c>
      <c r="H202" s="1">
        <f t="shared" si="34"/>
        <v>98</v>
      </c>
      <c r="I202" s="1">
        <f t="shared" si="30"/>
        <v>0</v>
      </c>
    </row>
    <row r="203" spans="1:20" x14ac:dyDescent="0.25">
      <c r="A203" s="1" t="s">
        <v>17</v>
      </c>
      <c r="B203" s="1">
        <v>13</v>
      </c>
      <c r="C203" s="1">
        <v>1001140001</v>
      </c>
      <c r="D203" s="1">
        <v>813768900</v>
      </c>
      <c r="E203" s="1">
        <f t="shared" si="31"/>
        <v>187371101</v>
      </c>
      <c r="F203" s="1">
        <f t="shared" si="32"/>
        <v>187371101</v>
      </c>
      <c r="G203" s="1">
        <f t="shared" si="33"/>
        <v>99</v>
      </c>
      <c r="H203" s="1">
        <f t="shared" si="34"/>
        <v>99</v>
      </c>
      <c r="I203" s="1">
        <f t="shared" si="30"/>
        <v>0</v>
      </c>
    </row>
    <row r="204" spans="1:20" x14ac:dyDescent="0.25">
      <c r="A204" s="1" t="s">
        <v>17</v>
      </c>
      <c r="B204" s="1">
        <v>2</v>
      </c>
      <c r="C204" s="1">
        <v>1049903900</v>
      </c>
      <c r="D204" s="1">
        <v>813748000</v>
      </c>
      <c r="E204" s="1">
        <f t="shared" si="31"/>
        <v>236155900</v>
      </c>
      <c r="F204" s="1">
        <f t="shared" si="32"/>
        <v>236155900</v>
      </c>
      <c r="G204" s="1">
        <f t="shared" si="33"/>
        <v>100</v>
      </c>
      <c r="H204" s="1">
        <f t="shared" si="34"/>
        <v>100</v>
      </c>
      <c r="I204" s="1">
        <f t="shared" si="30"/>
        <v>0</v>
      </c>
    </row>
    <row r="208" spans="1:20" x14ac:dyDescent="0.25">
      <c r="A208" s="1" t="s">
        <v>0</v>
      </c>
      <c r="B208" s="1" t="s">
        <v>18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Q208" s="1" t="s">
        <v>11</v>
      </c>
      <c r="R208" s="1" t="s">
        <v>12</v>
      </c>
      <c r="S208" s="1" t="s">
        <v>14</v>
      </c>
      <c r="T208" s="1" t="s">
        <v>15</v>
      </c>
    </row>
    <row r="209" spans="1:20" x14ac:dyDescent="0.25">
      <c r="A209" s="1" t="s">
        <v>19</v>
      </c>
      <c r="B209" s="1">
        <v>1</v>
      </c>
      <c r="C209" s="1">
        <v>825281500</v>
      </c>
      <c r="D209" s="1">
        <v>1050233000</v>
      </c>
      <c r="E209" s="1">
        <f>C209-D209</f>
        <v>-224951500</v>
      </c>
      <c r="F209" s="1">
        <f>ABS(E209)</f>
        <v>224951500</v>
      </c>
      <c r="G209" s="1">
        <f>_xlfn.RANK.AVG(F209,$F$209:$F$308,1)</f>
        <v>37</v>
      </c>
      <c r="H209" s="1">
        <f>IF(E209&gt;0,G209,0)</f>
        <v>0</v>
      </c>
      <c r="I209" s="1">
        <f>IF(E209&lt;0,G209,0)</f>
        <v>37</v>
      </c>
      <c r="N209" s="1" t="s">
        <v>9</v>
      </c>
      <c r="O209" s="1">
        <f>SUM(H209:H308)</f>
        <v>0</v>
      </c>
      <c r="Q209" s="1">
        <f>100*(101)/4</f>
        <v>2525</v>
      </c>
      <c r="R209" s="1">
        <f>SQRT(100*101*201/24)</f>
        <v>290.83930270855763</v>
      </c>
      <c r="S209" s="1">
        <f>(O211-Q209)/R209</f>
        <v>-8.6817702301061956</v>
      </c>
      <c r="T209" s="1">
        <f>_xlfn.NORM.S.DIST(-ABS(S209),1)*2</f>
        <v>3.8965598450959092E-18</v>
      </c>
    </row>
    <row r="210" spans="1:20" x14ac:dyDescent="0.25">
      <c r="A210" s="1" t="s">
        <v>19</v>
      </c>
      <c r="B210" s="1">
        <v>2</v>
      </c>
      <c r="C210" s="1">
        <v>825111700</v>
      </c>
      <c r="D210" s="1">
        <v>1049266900</v>
      </c>
      <c r="E210" s="1">
        <f t="shared" ref="E210:E273" si="35">C210-D210</f>
        <v>-224155200</v>
      </c>
      <c r="F210" s="1">
        <f t="shared" ref="F210:F273" si="36">ABS(E210)</f>
        <v>224155200</v>
      </c>
      <c r="G210" s="1">
        <f t="shared" ref="G210:G273" si="37">_xlfn.RANK.AVG(F210,$F$209:$F$308,1)</f>
        <v>34</v>
      </c>
      <c r="H210" s="1">
        <f t="shared" ref="H210:H273" si="38">IF(E210&gt;0,G210,0)</f>
        <v>0</v>
      </c>
      <c r="I210" s="1">
        <f t="shared" ref="I210:I273" si="39">IF(E210&lt;0,G210,0)</f>
        <v>34</v>
      </c>
      <c r="N210" s="1" t="s">
        <v>10</v>
      </c>
      <c r="O210" s="1">
        <f>SUM(I209:I308)</f>
        <v>5050</v>
      </c>
    </row>
    <row r="211" spans="1:20" x14ac:dyDescent="0.25">
      <c r="A211" s="1" t="s">
        <v>19</v>
      </c>
      <c r="B211" s="1">
        <v>3</v>
      </c>
      <c r="C211" s="1">
        <v>840283601</v>
      </c>
      <c r="D211" s="1">
        <v>1051877000</v>
      </c>
      <c r="E211" s="1">
        <f t="shared" si="35"/>
        <v>-211593399</v>
      </c>
      <c r="F211" s="1">
        <f t="shared" si="36"/>
        <v>211593399</v>
      </c>
      <c r="G211" s="1">
        <f t="shared" si="37"/>
        <v>10</v>
      </c>
      <c r="H211" s="1">
        <f t="shared" si="38"/>
        <v>0</v>
      </c>
      <c r="I211" s="1">
        <f t="shared" si="39"/>
        <v>10</v>
      </c>
      <c r="N211" s="1" t="s">
        <v>13</v>
      </c>
      <c r="O211" s="1">
        <f>MIN(O209,O210)</f>
        <v>0</v>
      </c>
    </row>
    <row r="212" spans="1:20" x14ac:dyDescent="0.25">
      <c r="A212" s="1" t="s">
        <v>19</v>
      </c>
      <c r="B212" s="1">
        <v>4</v>
      </c>
      <c r="C212" s="1">
        <v>839254200</v>
      </c>
      <c r="D212" s="1">
        <v>1048093800</v>
      </c>
      <c r="E212" s="1">
        <f t="shared" si="35"/>
        <v>-208839600</v>
      </c>
      <c r="F212" s="1">
        <f t="shared" si="36"/>
        <v>208839600</v>
      </c>
      <c r="G212" s="1">
        <f t="shared" si="37"/>
        <v>9</v>
      </c>
      <c r="H212" s="1">
        <f t="shared" si="38"/>
        <v>0</v>
      </c>
      <c r="I212" s="1">
        <f t="shared" si="39"/>
        <v>9</v>
      </c>
    </row>
    <row r="213" spans="1:20" x14ac:dyDescent="0.25">
      <c r="A213" s="1" t="s">
        <v>19</v>
      </c>
      <c r="B213" s="1">
        <v>5</v>
      </c>
      <c r="C213" s="1">
        <v>829056900</v>
      </c>
      <c r="D213" s="1">
        <v>1046007600</v>
      </c>
      <c r="E213" s="1">
        <f t="shared" si="35"/>
        <v>-216950700</v>
      </c>
      <c r="F213" s="1">
        <f t="shared" si="36"/>
        <v>216950700</v>
      </c>
      <c r="G213" s="1">
        <f t="shared" si="37"/>
        <v>20</v>
      </c>
      <c r="H213" s="1">
        <f t="shared" si="38"/>
        <v>0</v>
      </c>
      <c r="I213" s="1">
        <f t="shared" si="39"/>
        <v>20</v>
      </c>
    </row>
    <row r="214" spans="1:20" x14ac:dyDescent="0.25">
      <c r="A214" s="1" t="s">
        <v>19</v>
      </c>
      <c r="B214" s="1">
        <v>6</v>
      </c>
      <c r="C214" s="1">
        <v>817455801</v>
      </c>
      <c r="D214" s="1">
        <v>1047399800</v>
      </c>
      <c r="E214" s="1">
        <f t="shared" si="35"/>
        <v>-229943999</v>
      </c>
      <c r="F214" s="1">
        <f t="shared" si="36"/>
        <v>229943999</v>
      </c>
      <c r="G214" s="1">
        <f t="shared" si="37"/>
        <v>58</v>
      </c>
      <c r="H214" s="1">
        <f t="shared" si="38"/>
        <v>0</v>
      </c>
      <c r="I214" s="1">
        <f t="shared" si="39"/>
        <v>58</v>
      </c>
    </row>
    <row r="215" spans="1:20" x14ac:dyDescent="0.25">
      <c r="A215" s="1" t="s">
        <v>19</v>
      </c>
      <c r="B215" s="1">
        <v>7</v>
      </c>
      <c r="C215" s="1">
        <v>815850900</v>
      </c>
      <c r="D215" s="1">
        <v>1048719800</v>
      </c>
      <c r="E215" s="1">
        <f t="shared" si="35"/>
        <v>-232868900</v>
      </c>
      <c r="F215" s="1">
        <f t="shared" si="36"/>
        <v>232868900</v>
      </c>
      <c r="G215" s="1">
        <f t="shared" si="37"/>
        <v>74</v>
      </c>
      <c r="H215" s="1">
        <f t="shared" si="38"/>
        <v>0</v>
      </c>
      <c r="I215" s="1">
        <f t="shared" si="39"/>
        <v>74</v>
      </c>
    </row>
    <row r="216" spans="1:20" x14ac:dyDescent="0.25">
      <c r="A216" s="1" t="s">
        <v>19</v>
      </c>
      <c r="B216" s="1">
        <v>8</v>
      </c>
      <c r="C216" s="1">
        <v>830182899</v>
      </c>
      <c r="D216" s="1">
        <v>1051039300</v>
      </c>
      <c r="E216" s="1">
        <f t="shared" si="35"/>
        <v>-220856401</v>
      </c>
      <c r="F216" s="1">
        <f t="shared" si="36"/>
        <v>220856401</v>
      </c>
      <c r="G216" s="1">
        <f t="shared" si="37"/>
        <v>27</v>
      </c>
      <c r="H216" s="1">
        <f t="shared" si="38"/>
        <v>0</v>
      </c>
      <c r="I216" s="1">
        <f t="shared" si="39"/>
        <v>27</v>
      </c>
    </row>
    <row r="217" spans="1:20" x14ac:dyDescent="0.25">
      <c r="A217" s="1" t="s">
        <v>19</v>
      </c>
      <c r="B217" s="1">
        <v>9</v>
      </c>
      <c r="C217" s="1">
        <v>845514999</v>
      </c>
      <c r="D217" s="1">
        <v>1047922900</v>
      </c>
      <c r="E217" s="1">
        <f t="shared" si="35"/>
        <v>-202407901</v>
      </c>
      <c r="F217" s="1">
        <f t="shared" si="36"/>
        <v>202407901</v>
      </c>
      <c r="G217" s="1">
        <f t="shared" si="37"/>
        <v>6</v>
      </c>
      <c r="H217" s="1">
        <f t="shared" si="38"/>
        <v>0</v>
      </c>
      <c r="I217" s="1">
        <f t="shared" si="39"/>
        <v>6</v>
      </c>
    </row>
    <row r="218" spans="1:20" x14ac:dyDescent="0.25">
      <c r="A218" s="1" t="s">
        <v>19</v>
      </c>
      <c r="B218" s="1">
        <v>10</v>
      </c>
      <c r="C218" s="1">
        <v>832266000</v>
      </c>
      <c r="D218" s="1">
        <v>1047877400</v>
      </c>
      <c r="E218" s="1">
        <f t="shared" si="35"/>
        <v>-215611400</v>
      </c>
      <c r="F218" s="1">
        <f t="shared" si="36"/>
        <v>215611400</v>
      </c>
      <c r="G218" s="1">
        <f t="shared" si="37"/>
        <v>16</v>
      </c>
      <c r="H218" s="1">
        <f t="shared" si="38"/>
        <v>0</v>
      </c>
      <c r="I218" s="1">
        <f t="shared" si="39"/>
        <v>16</v>
      </c>
    </row>
    <row r="219" spans="1:20" x14ac:dyDescent="0.25">
      <c r="A219" s="1" t="s">
        <v>19</v>
      </c>
      <c r="B219" s="1">
        <v>11</v>
      </c>
      <c r="C219" s="1">
        <v>831829700</v>
      </c>
      <c r="D219" s="1">
        <v>1046198100</v>
      </c>
      <c r="E219" s="1">
        <f t="shared" si="35"/>
        <v>-214368400</v>
      </c>
      <c r="F219" s="1">
        <f t="shared" si="36"/>
        <v>214368400</v>
      </c>
      <c r="G219" s="1">
        <f t="shared" si="37"/>
        <v>11</v>
      </c>
      <c r="H219" s="1">
        <f t="shared" si="38"/>
        <v>0</v>
      </c>
      <c r="I219" s="1">
        <f t="shared" si="39"/>
        <v>11</v>
      </c>
    </row>
    <row r="220" spans="1:20" x14ac:dyDescent="0.25">
      <c r="A220" s="1" t="s">
        <v>19</v>
      </c>
      <c r="B220" s="1">
        <v>12</v>
      </c>
      <c r="C220" s="1">
        <v>826492601</v>
      </c>
      <c r="D220" s="1">
        <v>1044747400</v>
      </c>
      <c r="E220" s="1">
        <f t="shared" si="35"/>
        <v>-218254799</v>
      </c>
      <c r="F220" s="1">
        <f t="shared" si="36"/>
        <v>218254799</v>
      </c>
      <c r="G220" s="1">
        <f t="shared" si="37"/>
        <v>21</v>
      </c>
      <c r="H220" s="1">
        <f t="shared" si="38"/>
        <v>0</v>
      </c>
      <c r="I220" s="1">
        <f t="shared" si="39"/>
        <v>21</v>
      </c>
    </row>
    <row r="221" spans="1:20" x14ac:dyDescent="0.25">
      <c r="A221" s="1" t="s">
        <v>19</v>
      </c>
      <c r="B221" s="1">
        <v>13</v>
      </c>
      <c r="C221" s="1">
        <v>819071999</v>
      </c>
      <c r="D221" s="1">
        <v>1090919500</v>
      </c>
      <c r="E221" s="1">
        <f t="shared" si="35"/>
        <v>-271847501</v>
      </c>
      <c r="F221" s="1">
        <f t="shared" si="36"/>
        <v>271847501</v>
      </c>
      <c r="G221" s="1">
        <f t="shared" si="37"/>
        <v>98</v>
      </c>
      <c r="H221" s="1">
        <f t="shared" si="38"/>
        <v>0</v>
      </c>
      <c r="I221" s="1">
        <f t="shared" si="39"/>
        <v>98</v>
      </c>
    </row>
    <row r="222" spans="1:20" x14ac:dyDescent="0.25">
      <c r="A222" s="1" t="s">
        <v>19</v>
      </c>
      <c r="B222" s="1">
        <v>14</v>
      </c>
      <c r="C222" s="1">
        <v>813997200</v>
      </c>
      <c r="D222" s="1">
        <v>1046956200</v>
      </c>
      <c r="E222" s="1">
        <f t="shared" si="35"/>
        <v>-232959000</v>
      </c>
      <c r="F222" s="1">
        <f t="shared" si="36"/>
        <v>232959000</v>
      </c>
      <c r="G222" s="1">
        <f t="shared" si="37"/>
        <v>75</v>
      </c>
      <c r="H222" s="1">
        <f t="shared" si="38"/>
        <v>0</v>
      </c>
      <c r="I222" s="1">
        <f t="shared" si="39"/>
        <v>75</v>
      </c>
      <c r="N222" s="2" t="s">
        <v>21</v>
      </c>
      <c r="O222" s="2"/>
      <c r="P222" s="2"/>
      <c r="Q222" s="2"/>
      <c r="R222" s="2"/>
      <c r="S222" s="2"/>
      <c r="T222" s="2"/>
    </row>
    <row r="223" spans="1:20" x14ac:dyDescent="0.25">
      <c r="A223" s="1" t="s">
        <v>19</v>
      </c>
      <c r="B223" s="1">
        <v>15</v>
      </c>
      <c r="C223" s="1">
        <v>809076100</v>
      </c>
      <c r="D223" s="1">
        <v>1048772500</v>
      </c>
      <c r="E223" s="1">
        <f t="shared" si="35"/>
        <v>-239696400</v>
      </c>
      <c r="F223" s="1">
        <f t="shared" si="36"/>
        <v>239696400</v>
      </c>
      <c r="G223" s="1">
        <f t="shared" si="37"/>
        <v>90</v>
      </c>
      <c r="H223" s="1">
        <f t="shared" si="38"/>
        <v>0</v>
      </c>
      <c r="I223" s="1">
        <f t="shared" si="39"/>
        <v>90</v>
      </c>
      <c r="N223" s="2"/>
      <c r="O223" s="2"/>
      <c r="P223" s="2"/>
      <c r="Q223" s="2"/>
      <c r="R223" s="2"/>
      <c r="S223" s="2"/>
      <c r="T223" s="2"/>
    </row>
    <row r="224" spans="1:20" x14ac:dyDescent="0.25">
      <c r="A224" s="1" t="s">
        <v>19</v>
      </c>
      <c r="B224" s="1">
        <v>16</v>
      </c>
      <c r="C224" s="1">
        <v>809380500</v>
      </c>
      <c r="D224" s="1">
        <v>1048204200</v>
      </c>
      <c r="E224" s="1">
        <f t="shared" si="35"/>
        <v>-238823700</v>
      </c>
      <c r="F224" s="1">
        <f t="shared" si="36"/>
        <v>238823700</v>
      </c>
      <c r="G224" s="1">
        <f t="shared" si="37"/>
        <v>88</v>
      </c>
      <c r="H224" s="1">
        <f t="shared" si="38"/>
        <v>0</v>
      </c>
      <c r="I224" s="1">
        <f t="shared" si="39"/>
        <v>88</v>
      </c>
      <c r="N224" s="2"/>
      <c r="O224" s="2"/>
      <c r="P224" s="2"/>
      <c r="Q224" s="2"/>
      <c r="R224" s="2"/>
      <c r="S224" s="2"/>
      <c r="T224" s="2"/>
    </row>
    <row r="225" spans="1:20" x14ac:dyDescent="0.25">
      <c r="A225" s="1" t="s">
        <v>19</v>
      </c>
      <c r="B225" s="1">
        <v>17</v>
      </c>
      <c r="C225" s="1">
        <v>813297100</v>
      </c>
      <c r="D225" s="1">
        <v>1045680500</v>
      </c>
      <c r="E225" s="1">
        <f t="shared" si="35"/>
        <v>-232383400</v>
      </c>
      <c r="F225" s="1">
        <f t="shared" si="36"/>
        <v>232383400</v>
      </c>
      <c r="G225" s="1">
        <f t="shared" si="37"/>
        <v>72</v>
      </c>
      <c r="H225" s="1">
        <f t="shared" si="38"/>
        <v>0</v>
      </c>
      <c r="I225" s="1">
        <f t="shared" si="39"/>
        <v>72</v>
      </c>
      <c r="N225" s="2"/>
      <c r="O225" s="2"/>
      <c r="P225" s="2"/>
      <c r="Q225" s="2"/>
      <c r="R225" s="2"/>
      <c r="S225" s="2"/>
      <c r="T225" s="2"/>
    </row>
    <row r="226" spans="1:20" x14ac:dyDescent="0.25">
      <c r="A226" s="1" t="s">
        <v>19</v>
      </c>
      <c r="B226" s="1">
        <v>18</v>
      </c>
      <c r="C226" s="1">
        <v>812813401</v>
      </c>
      <c r="D226" s="1">
        <v>1044449900</v>
      </c>
      <c r="E226" s="1">
        <f t="shared" si="35"/>
        <v>-231636499</v>
      </c>
      <c r="F226" s="1">
        <f t="shared" si="36"/>
        <v>231636499</v>
      </c>
      <c r="G226" s="1">
        <f t="shared" si="37"/>
        <v>68</v>
      </c>
      <c r="H226" s="1">
        <f t="shared" si="38"/>
        <v>0</v>
      </c>
      <c r="I226" s="1">
        <f t="shared" si="39"/>
        <v>68</v>
      </c>
      <c r="N226" s="2"/>
      <c r="O226" s="2"/>
      <c r="P226" s="2"/>
      <c r="Q226" s="2"/>
      <c r="R226" s="2"/>
      <c r="S226" s="2"/>
      <c r="T226" s="2"/>
    </row>
    <row r="227" spans="1:20" x14ac:dyDescent="0.25">
      <c r="A227" s="1" t="s">
        <v>19</v>
      </c>
      <c r="B227" s="1">
        <v>19</v>
      </c>
      <c r="C227" s="1">
        <v>823710701</v>
      </c>
      <c r="D227" s="1">
        <v>1048221500</v>
      </c>
      <c r="E227" s="1">
        <f t="shared" si="35"/>
        <v>-224510799</v>
      </c>
      <c r="F227" s="1">
        <f t="shared" si="36"/>
        <v>224510799</v>
      </c>
      <c r="G227" s="1">
        <f t="shared" si="37"/>
        <v>35</v>
      </c>
      <c r="H227" s="1">
        <f t="shared" si="38"/>
        <v>0</v>
      </c>
      <c r="I227" s="1">
        <f t="shared" si="39"/>
        <v>35</v>
      </c>
    </row>
    <row r="228" spans="1:20" x14ac:dyDescent="0.25">
      <c r="A228" s="1" t="s">
        <v>19</v>
      </c>
      <c r="B228" s="1">
        <v>20</v>
      </c>
      <c r="C228" s="1">
        <v>817340001</v>
      </c>
      <c r="D228" s="1">
        <v>1047372700</v>
      </c>
      <c r="E228" s="1">
        <f t="shared" si="35"/>
        <v>-230032699</v>
      </c>
      <c r="F228" s="1">
        <f t="shared" si="36"/>
        <v>230032699</v>
      </c>
      <c r="G228" s="1">
        <f t="shared" si="37"/>
        <v>59</v>
      </c>
      <c r="H228" s="1">
        <f t="shared" si="38"/>
        <v>0</v>
      </c>
      <c r="I228" s="1">
        <f t="shared" si="39"/>
        <v>59</v>
      </c>
    </row>
    <row r="229" spans="1:20" x14ac:dyDescent="0.25">
      <c r="A229" s="1" t="s">
        <v>19</v>
      </c>
      <c r="B229" s="1">
        <v>21</v>
      </c>
      <c r="C229" s="1">
        <v>824829799</v>
      </c>
      <c r="D229" s="1">
        <v>1046174500</v>
      </c>
      <c r="E229" s="1">
        <f t="shared" si="35"/>
        <v>-221344701</v>
      </c>
      <c r="F229" s="1">
        <f t="shared" si="36"/>
        <v>221344701</v>
      </c>
      <c r="G229" s="1">
        <f t="shared" si="37"/>
        <v>29</v>
      </c>
      <c r="H229" s="1">
        <f t="shared" si="38"/>
        <v>0</v>
      </c>
      <c r="I229" s="1">
        <f t="shared" si="39"/>
        <v>29</v>
      </c>
    </row>
    <row r="230" spans="1:20" x14ac:dyDescent="0.25">
      <c r="A230" s="1" t="s">
        <v>19</v>
      </c>
      <c r="B230" s="1">
        <v>22</v>
      </c>
      <c r="C230" s="1">
        <v>819789900</v>
      </c>
      <c r="D230" s="1">
        <v>1048601100</v>
      </c>
      <c r="E230" s="1">
        <f t="shared" si="35"/>
        <v>-228811200</v>
      </c>
      <c r="F230" s="1">
        <f t="shared" si="36"/>
        <v>228811200</v>
      </c>
      <c r="G230" s="1">
        <f t="shared" si="37"/>
        <v>52</v>
      </c>
      <c r="H230" s="1">
        <f t="shared" si="38"/>
        <v>0</v>
      </c>
      <c r="I230" s="1">
        <f t="shared" si="39"/>
        <v>52</v>
      </c>
    </row>
    <row r="231" spans="1:20" x14ac:dyDescent="0.25">
      <c r="A231" s="1" t="s">
        <v>19</v>
      </c>
      <c r="B231" s="1">
        <v>23</v>
      </c>
      <c r="C231" s="1">
        <v>825959799</v>
      </c>
      <c r="D231" s="1">
        <v>1045064900</v>
      </c>
      <c r="E231" s="1">
        <f t="shared" si="35"/>
        <v>-219105101</v>
      </c>
      <c r="F231" s="1">
        <f t="shared" si="36"/>
        <v>219105101</v>
      </c>
      <c r="G231" s="1">
        <f t="shared" si="37"/>
        <v>24</v>
      </c>
      <c r="H231" s="1">
        <f t="shared" si="38"/>
        <v>0</v>
      </c>
      <c r="I231" s="1">
        <f t="shared" si="39"/>
        <v>24</v>
      </c>
    </row>
    <row r="232" spans="1:20" x14ac:dyDescent="0.25">
      <c r="A232" s="1" t="s">
        <v>19</v>
      </c>
      <c r="B232" s="1">
        <v>24</v>
      </c>
      <c r="C232" s="1">
        <v>818894500</v>
      </c>
      <c r="D232" s="1">
        <v>1044925300</v>
      </c>
      <c r="E232" s="1">
        <f t="shared" si="35"/>
        <v>-226030800</v>
      </c>
      <c r="F232" s="1">
        <f t="shared" si="36"/>
        <v>226030800</v>
      </c>
      <c r="G232" s="1">
        <f t="shared" si="37"/>
        <v>44</v>
      </c>
      <c r="H232" s="1">
        <f t="shared" si="38"/>
        <v>0</v>
      </c>
      <c r="I232" s="1">
        <f t="shared" si="39"/>
        <v>44</v>
      </c>
    </row>
    <row r="233" spans="1:20" x14ac:dyDescent="0.25">
      <c r="A233" s="1" t="s">
        <v>19</v>
      </c>
      <c r="B233" s="1">
        <v>25</v>
      </c>
      <c r="C233" s="1">
        <v>828941400</v>
      </c>
      <c r="D233" s="1">
        <v>1044027900</v>
      </c>
      <c r="E233" s="1">
        <f t="shared" si="35"/>
        <v>-215086500</v>
      </c>
      <c r="F233" s="1">
        <f t="shared" si="36"/>
        <v>215086500</v>
      </c>
      <c r="G233" s="1">
        <f t="shared" si="37"/>
        <v>13</v>
      </c>
      <c r="H233" s="1">
        <f t="shared" si="38"/>
        <v>0</v>
      </c>
      <c r="I233" s="1">
        <f t="shared" si="39"/>
        <v>13</v>
      </c>
    </row>
    <row r="234" spans="1:20" x14ac:dyDescent="0.25">
      <c r="A234" s="1" t="s">
        <v>19</v>
      </c>
      <c r="B234" s="1">
        <v>26</v>
      </c>
      <c r="C234" s="1">
        <v>831153200</v>
      </c>
      <c r="D234" s="1">
        <v>1047211900</v>
      </c>
      <c r="E234" s="1">
        <f t="shared" si="35"/>
        <v>-216058700</v>
      </c>
      <c r="F234" s="1">
        <f t="shared" si="36"/>
        <v>216058700</v>
      </c>
      <c r="G234" s="1">
        <f t="shared" si="37"/>
        <v>17</v>
      </c>
      <c r="H234" s="1">
        <f t="shared" si="38"/>
        <v>0</v>
      </c>
      <c r="I234" s="1">
        <f t="shared" si="39"/>
        <v>17</v>
      </c>
    </row>
    <row r="235" spans="1:20" x14ac:dyDescent="0.25">
      <c r="A235" s="1" t="s">
        <v>19</v>
      </c>
      <c r="B235" s="1">
        <v>27</v>
      </c>
      <c r="C235" s="1">
        <v>816165800</v>
      </c>
      <c r="D235" s="1">
        <v>1047006500</v>
      </c>
      <c r="E235" s="1">
        <f t="shared" si="35"/>
        <v>-230840700</v>
      </c>
      <c r="F235" s="1">
        <f t="shared" si="36"/>
        <v>230840700</v>
      </c>
      <c r="G235" s="1">
        <f t="shared" si="37"/>
        <v>62</v>
      </c>
      <c r="H235" s="1">
        <f t="shared" si="38"/>
        <v>0</v>
      </c>
      <c r="I235" s="1">
        <f t="shared" si="39"/>
        <v>62</v>
      </c>
    </row>
    <row r="236" spans="1:20" x14ac:dyDescent="0.25">
      <c r="A236" s="1" t="s">
        <v>19</v>
      </c>
      <c r="B236" s="1">
        <v>28</v>
      </c>
      <c r="C236" s="1">
        <v>815725399</v>
      </c>
      <c r="D236" s="1">
        <v>1045146300</v>
      </c>
      <c r="E236" s="1">
        <f t="shared" si="35"/>
        <v>-229420901</v>
      </c>
      <c r="F236" s="1">
        <f t="shared" si="36"/>
        <v>229420901</v>
      </c>
      <c r="G236" s="1">
        <f t="shared" si="37"/>
        <v>55</v>
      </c>
      <c r="H236" s="1">
        <f t="shared" si="38"/>
        <v>0</v>
      </c>
      <c r="I236" s="1">
        <f t="shared" si="39"/>
        <v>55</v>
      </c>
    </row>
    <row r="237" spans="1:20" x14ac:dyDescent="0.25">
      <c r="A237" s="1" t="s">
        <v>19</v>
      </c>
      <c r="B237" s="1">
        <v>29</v>
      </c>
      <c r="C237" s="1">
        <v>856927300</v>
      </c>
      <c r="D237" s="1">
        <v>1043486700</v>
      </c>
      <c r="E237" s="1">
        <f t="shared" si="35"/>
        <v>-186559400</v>
      </c>
      <c r="F237" s="1">
        <f t="shared" si="36"/>
        <v>186559400</v>
      </c>
      <c r="G237" s="1">
        <f t="shared" si="37"/>
        <v>2</v>
      </c>
      <c r="H237" s="1">
        <f t="shared" si="38"/>
        <v>0</v>
      </c>
      <c r="I237" s="1">
        <f t="shared" si="39"/>
        <v>2</v>
      </c>
    </row>
    <row r="238" spans="1:20" x14ac:dyDescent="0.25">
      <c r="A238" s="1" t="s">
        <v>19</v>
      </c>
      <c r="B238" s="1">
        <v>30</v>
      </c>
      <c r="C238" s="1">
        <v>854687499</v>
      </c>
      <c r="D238" s="1">
        <v>1047347600</v>
      </c>
      <c r="E238" s="1">
        <f t="shared" si="35"/>
        <v>-192660101</v>
      </c>
      <c r="F238" s="1">
        <f t="shared" si="36"/>
        <v>192660101</v>
      </c>
      <c r="G238" s="1">
        <f t="shared" si="37"/>
        <v>4</v>
      </c>
      <c r="H238" s="1">
        <f t="shared" si="38"/>
        <v>0</v>
      </c>
      <c r="I238" s="1">
        <f t="shared" si="39"/>
        <v>4</v>
      </c>
    </row>
    <row r="239" spans="1:20" x14ac:dyDescent="0.25">
      <c r="A239" s="1" t="s">
        <v>19</v>
      </c>
      <c r="B239" s="1">
        <v>31</v>
      </c>
      <c r="C239" s="1">
        <v>842381600</v>
      </c>
      <c r="D239" s="1">
        <v>1044466400</v>
      </c>
      <c r="E239" s="1">
        <f t="shared" si="35"/>
        <v>-202084800</v>
      </c>
      <c r="F239" s="1">
        <f t="shared" si="36"/>
        <v>202084800</v>
      </c>
      <c r="G239" s="1">
        <f t="shared" si="37"/>
        <v>5</v>
      </c>
      <c r="H239" s="1">
        <f t="shared" si="38"/>
        <v>0</v>
      </c>
      <c r="I239" s="1">
        <f t="shared" si="39"/>
        <v>5</v>
      </c>
    </row>
    <row r="240" spans="1:20" x14ac:dyDescent="0.25">
      <c r="A240" s="1" t="s">
        <v>19</v>
      </c>
      <c r="B240" s="1">
        <v>32</v>
      </c>
      <c r="C240" s="1">
        <v>813552301</v>
      </c>
      <c r="D240" s="1">
        <v>1048738800</v>
      </c>
      <c r="E240" s="1">
        <f t="shared" si="35"/>
        <v>-235186499</v>
      </c>
      <c r="F240" s="1">
        <f t="shared" si="36"/>
        <v>235186499</v>
      </c>
      <c r="G240" s="1">
        <f t="shared" si="37"/>
        <v>82</v>
      </c>
      <c r="H240" s="1">
        <f t="shared" si="38"/>
        <v>0</v>
      </c>
      <c r="I240" s="1">
        <f t="shared" si="39"/>
        <v>82</v>
      </c>
    </row>
    <row r="241" spans="1:9" x14ac:dyDescent="0.25">
      <c r="A241" s="1" t="s">
        <v>19</v>
      </c>
      <c r="B241" s="1">
        <v>33</v>
      </c>
      <c r="C241" s="1">
        <v>808830500</v>
      </c>
      <c r="D241" s="1">
        <v>1044926600</v>
      </c>
      <c r="E241" s="1">
        <f t="shared" si="35"/>
        <v>-236096100</v>
      </c>
      <c r="F241" s="1">
        <f t="shared" si="36"/>
        <v>236096100</v>
      </c>
      <c r="G241" s="1">
        <f t="shared" si="37"/>
        <v>84</v>
      </c>
      <c r="H241" s="1">
        <f t="shared" si="38"/>
        <v>0</v>
      </c>
      <c r="I241" s="1">
        <f t="shared" si="39"/>
        <v>84</v>
      </c>
    </row>
    <row r="242" spans="1:9" x14ac:dyDescent="0.25">
      <c r="A242" s="1" t="s">
        <v>19</v>
      </c>
      <c r="B242" s="1">
        <v>34</v>
      </c>
      <c r="C242" s="1">
        <v>810599600</v>
      </c>
      <c r="D242" s="1">
        <v>1047587700</v>
      </c>
      <c r="E242" s="1">
        <f t="shared" si="35"/>
        <v>-236988100</v>
      </c>
      <c r="F242" s="1">
        <f t="shared" si="36"/>
        <v>236988100</v>
      </c>
      <c r="G242" s="1">
        <f t="shared" si="37"/>
        <v>86</v>
      </c>
      <c r="H242" s="1">
        <f t="shared" si="38"/>
        <v>0</v>
      </c>
      <c r="I242" s="1">
        <f t="shared" si="39"/>
        <v>86</v>
      </c>
    </row>
    <row r="243" spans="1:9" x14ac:dyDescent="0.25">
      <c r="A243" s="1" t="s">
        <v>19</v>
      </c>
      <c r="B243" s="1">
        <v>35</v>
      </c>
      <c r="C243" s="1">
        <v>818514200</v>
      </c>
      <c r="D243" s="1">
        <v>1045492900</v>
      </c>
      <c r="E243" s="1">
        <f t="shared" si="35"/>
        <v>-226978700</v>
      </c>
      <c r="F243" s="1">
        <f t="shared" si="36"/>
        <v>226978700</v>
      </c>
      <c r="G243" s="1">
        <f t="shared" si="37"/>
        <v>47</v>
      </c>
      <c r="H243" s="1">
        <f t="shared" si="38"/>
        <v>0</v>
      </c>
      <c r="I243" s="1">
        <f t="shared" si="39"/>
        <v>47</v>
      </c>
    </row>
    <row r="244" spans="1:9" x14ac:dyDescent="0.25">
      <c r="A244" s="1" t="s">
        <v>19</v>
      </c>
      <c r="B244" s="1">
        <v>36</v>
      </c>
      <c r="C244" s="1">
        <v>817778801</v>
      </c>
      <c r="D244" s="1">
        <v>1043705200</v>
      </c>
      <c r="E244" s="1">
        <f t="shared" si="35"/>
        <v>-225926399</v>
      </c>
      <c r="F244" s="1">
        <f t="shared" si="36"/>
        <v>225926399</v>
      </c>
      <c r="G244" s="1">
        <f t="shared" si="37"/>
        <v>42</v>
      </c>
      <c r="H244" s="1">
        <f t="shared" si="38"/>
        <v>0</v>
      </c>
      <c r="I244" s="1">
        <f t="shared" si="39"/>
        <v>42</v>
      </c>
    </row>
    <row r="245" spans="1:9" x14ac:dyDescent="0.25">
      <c r="A245" s="1" t="s">
        <v>19</v>
      </c>
      <c r="B245" s="1">
        <v>37</v>
      </c>
      <c r="C245" s="1">
        <v>818768400</v>
      </c>
      <c r="D245" s="1">
        <v>1045659000</v>
      </c>
      <c r="E245" s="1">
        <f t="shared" si="35"/>
        <v>-226890600</v>
      </c>
      <c r="F245" s="1">
        <f t="shared" si="36"/>
        <v>226890600</v>
      </c>
      <c r="G245" s="1">
        <f t="shared" si="37"/>
        <v>46</v>
      </c>
      <c r="H245" s="1">
        <f t="shared" si="38"/>
        <v>0</v>
      </c>
      <c r="I245" s="1">
        <f t="shared" si="39"/>
        <v>46</v>
      </c>
    </row>
    <row r="246" spans="1:9" x14ac:dyDescent="0.25">
      <c r="A246" s="1" t="s">
        <v>19</v>
      </c>
      <c r="B246" s="1">
        <v>38</v>
      </c>
      <c r="C246" s="1">
        <v>819315701</v>
      </c>
      <c r="D246" s="1">
        <v>1045280000</v>
      </c>
      <c r="E246" s="1">
        <f t="shared" si="35"/>
        <v>-225964299</v>
      </c>
      <c r="F246" s="1">
        <f t="shared" si="36"/>
        <v>225964299</v>
      </c>
      <c r="G246" s="1">
        <f t="shared" si="37"/>
        <v>43</v>
      </c>
      <c r="H246" s="1">
        <f t="shared" si="38"/>
        <v>0</v>
      </c>
      <c r="I246" s="1">
        <f t="shared" si="39"/>
        <v>43</v>
      </c>
    </row>
    <row r="247" spans="1:9" x14ac:dyDescent="0.25">
      <c r="A247" s="1" t="s">
        <v>19</v>
      </c>
      <c r="B247" s="1">
        <v>39</v>
      </c>
      <c r="C247" s="1">
        <v>812577100</v>
      </c>
      <c r="D247" s="1">
        <v>1045351000</v>
      </c>
      <c r="E247" s="1">
        <f t="shared" si="35"/>
        <v>-232773900</v>
      </c>
      <c r="F247" s="1">
        <f t="shared" si="36"/>
        <v>232773900</v>
      </c>
      <c r="G247" s="1">
        <f t="shared" si="37"/>
        <v>73</v>
      </c>
      <c r="H247" s="1">
        <f t="shared" si="38"/>
        <v>0</v>
      </c>
      <c r="I247" s="1">
        <f t="shared" si="39"/>
        <v>73</v>
      </c>
    </row>
    <row r="248" spans="1:9" x14ac:dyDescent="0.25">
      <c r="A248" s="1" t="s">
        <v>19</v>
      </c>
      <c r="B248" s="1">
        <v>40</v>
      </c>
      <c r="C248" s="1">
        <v>825265500</v>
      </c>
      <c r="D248" s="1">
        <v>1047148500</v>
      </c>
      <c r="E248" s="1">
        <f t="shared" si="35"/>
        <v>-221883000</v>
      </c>
      <c r="F248" s="1">
        <f t="shared" si="36"/>
        <v>221883000</v>
      </c>
      <c r="G248" s="1">
        <f t="shared" si="37"/>
        <v>30</v>
      </c>
      <c r="H248" s="1">
        <f t="shared" si="38"/>
        <v>0</v>
      </c>
      <c r="I248" s="1">
        <f t="shared" si="39"/>
        <v>30</v>
      </c>
    </row>
    <row r="249" spans="1:9" x14ac:dyDescent="0.25">
      <c r="A249" s="1" t="s">
        <v>19</v>
      </c>
      <c r="B249" s="1">
        <v>41</v>
      </c>
      <c r="C249" s="1">
        <v>827617901</v>
      </c>
      <c r="D249" s="1">
        <v>1043872600</v>
      </c>
      <c r="E249" s="1">
        <f t="shared" si="35"/>
        <v>-216254699</v>
      </c>
      <c r="F249" s="1">
        <f t="shared" si="36"/>
        <v>216254699</v>
      </c>
      <c r="G249" s="1">
        <f t="shared" si="37"/>
        <v>19</v>
      </c>
      <c r="H249" s="1">
        <f t="shared" si="38"/>
        <v>0</v>
      </c>
      <c r="I249" s="1">
        <f t="shared" si="39"/>
        <v>19</v>
      </c>
    </row>
    <row r="250" spans="1:9" x14ac:dyDescent="0.25">
      <c r="A250" s="1" t="s">
        <v>19</v>
      </c>
      <c r="B250" s="1">
        <v>42</v>
      </c>
      <c r="C250" s="1">
        <v>819475400</v>
      </c>
      <c r="D250" s="1">
        <v>1045937700</v>
      </c>
      <c r="E250" s="1">
        <f t="shared" si="35"/>
        <v>-226462300</v>
      </c>
      <c r="F250" s="1">
        <f t="shared" si="36"/>
        <v>226462300</v>
      </c>
      <c r="G250" s="1">
        <f t="shared" si="37"/>
        <v>45</v>
      </c>
      <c r="H250" s="1">
        <f t="shared" si="38"/>
        <v>0</v>
      </c>
      <c r="I250" s="1">
        <f t="shared" si="39"/>
        <v>45</v>
      </c>
    </row>
    <row r="251" spans="1:9" x14ac:dyDescent="0.25">
      <c r="A251" s="1" t="s">
        <v>19</v>
      </c>
      <c r="B251" s="1">
        <v>43</v>
      </c>
      <c r="C251" s="1">
        <v>822919201</v>
      </c>
      <c r="D251" s="1">
        <v>1048712300</v>
      </c>
      <c r="E251" s="1">
        <f t="shared" si="35"/>
        <v>-225793099</v>
      </c>
      <c r="F251" s="1">
        <f t="shared" si="36"/>
        <v>225793099</v>
      </c>
      <c r="G251" s="1">
        <f t="shared" si="37"/>
        <v>40</v>
      </c>
      <c r="H251" s="1">
        <f t="shared" si="38"/>
        <v>0</v>
      </c>
      <c r="I251" s="1">
        <f t="shared" si="39"/>
        <v>40</v>
      </c>
    </row>
    <row r="252" spans="1:9" x14ac:dyDescent="0.25">
      <c r="A252" s="1" t="s">
        <v>19</v>
      </c>
      <c r="B252" s="1">
        <v>44</v>
      </c>
      <c r="C252" s="1">
        <v>819281800</v>
      </c>
      <c r="D252" s="1">
        <v>1050165200</v>
      </c>
      <c r="E252" s="1">
        <f t="shared" si="35"/>
        <v>-230883400</v>
      </c>
      <c r="F252" s="1">
        <f t="shared" si="36"/>
        <v>230883400</v>
      </c>
      <c r="G252" s="1">
        <f t="shared" si="37"/>
        <v>63</v>
      </c>
      <c r="H252" s="1">
        <f t="shared" si="38"/>
        <v>0</v>
      </c>
      <c r="I252" s="1">
        <f t="shared" si="39"/>
        <v>63</v>
      </c>
    </row>
    <row r="253" spans="1:9" x14ac:dyDescent="0.25">
      <c r="A253" s="1" t="s">
        <v>19</v>
      </c>
      <c r="B253" s="1">
        <v>45</v>
      </c>
      <c r="C253" s="1">
        <v>815831800</v>
      </c>
      <c r="D253" s="1">
        <v>1044263300</v>
      </c>
      <c r="E253" s="1">
        <f t="shared" si="35"/>
        <v>-228431500</v>
      </c>
      <c r="F253" s="1">
        <f t="shared" si="36"/>
        <v>228431500</v>
      </c>
      <c r="G253" s="1">
        <f t="shared" si="37"/>
        <v>51</v>
      </c>
      <c r="H253" s="1">
        <f t="shared" si="38"/>
        <v>0</v>
      </c>
      <c r="I253" s="1">
        <f t="shared" si="39"/>
        <v>51</v>
      </c>
    </row>
    <row r="254" spans="1:9" x14ac:dyDescent="0.25">
      <c r="A254" s="1" t="s">
        <v>19</v>
      </c>
      <c r="B254" s="1">
        <v>46</v>
      </c>
      <c r="C254" s="1">
        <v>809380900</v>
      </c>
      <c r="D254" s="1">
        <v>1044320700</v>
      </c>
      <c r="E254" s="1">
        <f t="shared" si="35"/>
        <v>-234939800</v>
      </c>
      <c r="F254" s="1">
        <f t="shared" si="36"/>
        <v>234939800</v>
      </c>
      <c r="G254" s="1">
        <f t="shared" si="37"/>
        <v>81</v>
      </c>
      <c r="H254" s="1">
        <f t="shared" si="38"/>
        <v>0</v>
      </c>
      <c r="I254" s="1">
        <f t="shared" si="39"/>
        <v>81</v>
      </c>
    </row>
    <row r="255" spans="1:9" x14ac:dyDescent="0.25">
      <c r="A255" s="1" t="s">
        <v>19</v>
      </c>
      <c r="B255" s="1">
        <v>47</v>
      </c>
      <c r="C255" s="1">
        <v>811928099</v>
      </c>
      <c r="D255" s="1">
        <v>1043543200</v>
      </c>
      <c r="E255" s="1">
        <f t="shared" si="35"/>
        <v>-231615101</v>
      </c>
      <c r="F255" s="1">
        <f t="shared" si="36"/>
        <v>231615101</v>
      </c>
      <c r="G255" s="1">
        <f t="shared" si="37"/>
        <v>67</v>
      </c>
      <c r="H255" s="1">
        <f t="shared" si="38"/>
        <v>0</v>
      </c>
      <c r="I255" s="1">
        <f t="shared" si="39"/>
        <v>67</v>
      </c>
    </row>
    <row r="256" spans="1:9" x14ac:dyDescent="0.25">
      <c r="A256" s="1" t="s">
        <v>19</v>
      </c>
      <c r="B256" s="1">
        <v>48</v>
      </c>
      <c r="C256" s="1">
        <v>817205500</v>
      </c>
      <c r="D256" s="1">
        <v>1045567300</v>
      </c>
      <c r="E256" s="1">
        <f t="shared" si="35"/>
        <v>-228361800</v>
      </c>
      <c r="F256" s="1">
        <f t="shared" si="36"/>
        <v>228361800</v>
      </c>
      <c r="G256" s="1">
        <f t="shared" si="37"/>
        <v>50</v>
      </c>
      <c r="H256" s="1">
        <f t="shared" si="38"/>
        <v>0</v>
      </c>
      <c r="I256" s="1">
        <f t="shared" si="39"/>
        <v>50</v>
      </c>
    </row>
    <row r="257" spans="1:9" x14ac:dyDescent="0.25">
      <c r="A257" s="1" t="s">
        <v>19</v>
      </c>
      <c r="B257" s="1">
        <v>49</v>
      </c>
      <c r="C257" s="1">
        <v>813166200</v>
      </c>
      <c r="D257" s="1">
        <v>1043814800</v>
      </c>
      <c r="E257" s="1">
        <f t="shared" si="35"/>
        <v>-230648600</v>
      </c>
      <c r="F257" s="1">
        <f t="shared" si="36"/>
        <v>230648600</v>
      </c>
      <c r="G257" s="1">
        <f t="shared" si="37"/>
        <v>61</v>
      </c>
      <c r="H257" s="1">
        <f t="shared" si="38"/>
        <v>0</v>
      </c>
      <c r="I257" s="1">
        <f t="shared" si="39"/>
        <v>61</v>
      </c>
    </row>
    <row r="258" spans="1:9" x14ac:dyDescent="0.25">
      <c r="A258" s="1" t="s">
        <v>19</v>
      </c>
      <c r="B258" s="1">
        <v>50</v>
      </c>
      <c r="C258" s="1">
        <v>809353399</v>
      </c>
      <c r="D258" s="1">
        <v>1045119600</v>
      </c>
      <c r="E258" s="1">
        <f t="shared" si="35"/>
        <v>-235766201</v>
      </c>
      <c r="F258" s="1">
        <f t="shared" si="36"/>
        <v>235766201</v>
      </c>
      <c r="G258" s="1">
        <f t="shared" si="37"/>
        <v>83</v>
      </c>
      <c r="H258" s="1">
        <f t="shared" si="38"/>
        <v>0</v>
      </c>
      <c r="I258" s="1">
        <f t="shared" si="39"/>
        <v>83</v>
      </c>
    </row>
    <row r="259" spans="1:9" x14ac:dyDescent="0.25">
      <c r="A259" s="1" t="s">
        <v>19</v>
      </c>
      <c r="B259" s="1">
        <v>51</v>
      </c>
      <c r="C259" s="1">
        <v>809365000</v>
      </c>
      <c r="D259" s="1">
        <v>1043059400</v>
      </c>
      <c r="E259" s="1">
        <f t="shared" si="35"/>
        <v>-233694400</v>
      </c>
      <c r="F259" s="1">
        <f t="shared" si="36"/>
        <v>233694400</v>
      </c>
      <c r="G259" s="1">
        <f t="shared" si="37"/>
        <v>76</v>
      </c>
      <c r="H259" s="1">
        <f t="shared" si="38"/>
        <v>0</v>
      </c>
      <c r="I259" s="1">
        <f t="shared" si="39"/>
        <v>76</v>
      </c>
    </row>
    <row r="260" spans="1:9" x14ac:dyDescent="0.25">
      <c r="A260" s="1" t="s">
        <v>19</v>
      </c>
      <c r="B260" s="1">
        <v>52</v>
      </c>
      <c r="C260" s="1">
        <v>813257801</v>
      </c>
      <c r="D260" s="1">
        <v>1048070800</v>
      </c>
      <c r="E260" s="1">
        <f t="shared" si="35"/>
        <v>-234812999</v>
      </c>
      <c r="F260" s="1">
        <f t="shared" si="36"/>
        <v>234812999</v>
      </c>
      <c r="G260" s="1">
        <f t="shared" si="37"/>
        <v>79</v>
      </c>
      <c r="H260" s="1">
        <f t="shared" si="38"/>
        <v>0</v>
      </c>
      <c r="I260" s="1">
        <f t="shared" si="39"/>
        <v>79</v>
      </c>
    </row>
    <row r="261" spans="1:9" x14ac:dyDescent="0.25">
      <c r="A261" s="1" t="s">
        <v>19</v>
      </c>
      <c r="B261" s="1">
        <v>53</v>
      </c>
      <c r="C261" s="1">
        <v>820981500</v>
      </c>
      <c r="D261" s="1">
        <v>1100560600</v>
      </c>
      <c r="E261" s="1">
        <f t="shared" si="35"/>
        <v>-279579100</v>
      </c>
      <c r="F261" s="1">
        <f t="shared" si="36"/>
        <v>279579100</v>
      </c>
      <c r="G261" s="1">
        <f t="shared" si="37"/>
        <v>99</v>
      </c>
      <c r="H261" s="1">
        <f t="shared" si="38"/>
        <v>0</v>
      </c>
      <c r="I261" s="1">
        <f t="shared" si="39"/>
        <v>99</v>
      </c>
    </row>
    <row r="262" spans="1:9" x14ac:dyDescent="0.25">
      <c r="A262" s="1" t="s">
        <v>19</v>
      </c>
      <c r="B262" s="1">
        <v>54</v>
      </c>
      <c r="C262" s="1">
        <v>847840700</v>
      </c>
      <c r="D262" s="1">
        <v>1052241000</v>
      </c>
      <c r="E262" s="1">
        <f t="shared" si="35"/>
        <v>-204400300</v>
      </c>
      <c r="F262" s="1">
        <f t="shared" si="36"/>
        <v>204400300</v>
      </c>
      <c r="G262" s="1">
        <f t="shared" si="37"/>
        <v>7</v>
      </c>
      <c r="H262" s="1">
        <f t="shared" si="38"/>
        <v>0</v>
      </c>
      <c r="I262" s="1">
        <f t="shared" si="39"/>
        <v>7</v>
      </c>
    </row>
    <row r="263" spans="1:9" x14ac:dyDescent="0.25">
      <c r="A263" s="1" t="s">
        <v>19</v>
      </c>
      <c r="B263" s="1">
        <v>55</v>
      </c>
      <c r="C263" s="1">
        <v>861833501</v>
      </c>
      <c r="D263" s="1">
        <v>1045486900</v>
      </c>
      <c r="E263" s="1">
        <f t="shared" si="35"/>
        <v>-183653399</v>
      </c>
      <c r="F263" s="1">
        <f t="shared" si="36"/>
        <v>183653399</v>
      </c>
      <c r="G263" s="1">
        <f t="shared" si="37"/>
        <v>1</v>
      </c>
      <c r="H263" s="1">
        <f t="shared" si="38"/>
        <v>0</v>
      </c>
      <c r="I263" s="1">
        <f t="shared" si="39"/>
        <v>1</v>
      </c>
    </row>
    <row r="264" spans="1:9" x14ac:dyDescent="0.25">
      <c r="A264" s="1" t="s">
        <v>19</v>
      </c>
      <c r="B264" s="1">
        <v>56</v>
      </c>
      <c r="C264" s="1">
        <v>834217100</v>
      </c>
      <c r="D264" s="1">
        <v>1060108600</v>
      </c>
      <c r="E264" s="1">
        <f t="shared" si="35"/>
        <v>-225891500</v>
      </c>
      <c r="F264" s="1">
        <f t="shared" si="36"/>
        <v>225891500</v>
      </c>
      <c r="G264" s="1">
        <f t="shared" si="37"/>
        <v>41</v>
      </c>
      <c r="H264" s="1">
        <f t="shared" si="38"/>
        <v>0</v>
      </c>
      <c r="I264" s="1">
        <f t="shared" si="39"/>
        <v>41</v>
      </c>
    </row>
    <row r="265" spans="1:9" x14ac:dyDescent="0.25">
      <c r="A265" s="1" t="s">
        <v>19</v>
      </c>
      <c r="B265" s="1">
        <v>57</v>
      </c>
      <c r="C265" s="1">
        <v>847002900</v>
      </c>
      <c r="D265" s="1">
        <v>1052417100</v>
      </c>
      <c r="E265" s="1">
        <f t="shared" si="35"/>
        <v>-205414200</v>
      </c>
      <c r="F265" s="1">
        <f t="shared" si="36"/>
        <v>205414200</v>
      </c>
      <c r="G265" s="1">
        <f t="shared" si="37"/>
        <v>8</v>
      </c>
      <c r="H265" s="1">
        <f t="shared" si="38"/>
        <v>0</v>
      </c>
      <c r="I265" s="1">
        <f t="shared" si="39"/>
        <v>8</v>
      </c>
    </row>
    <row r="266" spans="1:9" x14ac:dyDescent="0.25">
      <c r="A266" s="1" t="s">
        <v>19</v>
      </c>
      <c r="B266" s="1">
        <v>58</v>
      </c>
      <c r="C266" s="1">
        <v>818947600</v>
      </c>
      <c r="D266" s="1">
        <v>1066391700</v>
      </c>
      <c r="E266" s="1">
        <f t="shared" si="35"/>
        <v>-247444100</v>
      </c>
      <c r="F266" s="1">
        <f t="shared" si="36"/>
        <v>247444100</v>
      </c>
      <c r="G266" s="1">
        <f t="shared" si="37"/>
        <v>96</v>
      </c>
      <c r="H266" s="1">
        <f t="shared" si="38"/>
        <v>0</v>
      </c>
      <c r="I266" s="1">
        <f t="shared" si="39"/>
        <v>96</v>
      </c>
    </row>
    <row r="267" spans="1:9" x14ac:dyDescent="0.25">
      <c r="A267" s="1" t="s">
        <v>19</v>
      </c>
      <c r="B267" s="1">
        <v>59</v>
      </c>
      <c r="C267" s="1">
        <v>819003600</v>
      </c>
      <c r="D267" s="1">
        <v>1061329700</v>
      </c>
      <c r="E267" s="1">
        <f t="shared" si="35"/>
        <v>-242326100</v>
      </c>
      <c r="F267" s="1">
        <f t="shared" si="36"/>
        <v>242326100</v>
      </c>
      <c r="G267" s="1">
        <f t="shared" si="37"/>
        <v>92</v>
      </c>
      <c r="H267" s="1">
        <f t="shared" si="38"/>
        <v>0</v>
      </c>
      <c r="I267" s="1">
        <f t="shared" si="39"/>
        <v>92</v>
      </c>
    </row>
    <row r="268" spans="1:9" x14ac:dyDescent="0.25">
      <c r="A268" s="1" t="s">
        <v>19</v>
      </c>
      <c r="B268" s="1">
        <v>60</v>
      </c>
      <c r="C268" s="1">
        <v>813739100</v>
      </c>
      <c r="D268" s="1">
        <v>1058831300</v>
      </c>
      <c r="E268" s="1">
        <f t="shared" si="35"/>
        <v>-245092200</v>
      </c>
      <c r="F268" s="1">
        <f t="shared" si="36"/>
        <v>245092200</v>
      </c>
      <c r="G268" s="1">
        <f t="shared" si="37"/>
        <v>95</v>
      </c>
      <c r="H268" s="1">
        <f t="shared" si="38"/>
        <v>0</v>
      </c>
      <c r="I268" s="1">
        <f t="shared" si="39"/>
        <v>95</v>
      </c>
    </row>
    <row r="269" spans="1:9" x14ac:dyDescent="0.25">
      <c r="A269" s="1" t="s">
        <v>19</v>
      </c>
      <c r="B269" s="1">
        <v>61</v>
      </c>
      <c r="C269" s="1">
        <v>818847600</v>
      </c>
      <c r="D269" s="1">
        <v>1055454000</v>
      </c>
      <c r="E269" s="1">
        <f t="shared" si="35"/>
        <v>-236606400</v>
      </c>
      <c r="F269" s="1">
        <f t="shared" si="36"/>
        <v>236606400</v>
      </c>
      <c r="G269" s="1">
        <f t="shared" si="37"/>
        <v>85</v>
      </c>
      <c r="H269" s="1">
        <f t="shared" si="38"/>
        <v>0</v>
      </c>
      <c r="I269" s="1">
        <f t="shared" si="39"/>
        <v>85</v>
      </c>
    </row>
    <row r="270" spans="1:9" x14ac:dyDescent="0.25">
      <c r="A270" s="1" t="s">
        <v>19</v>
      </c>
      <c r="B270" s="1">
        <v>62</v>
      </c>
      <c r="C270" s="1">
        <v>821110400</v>
      </c>
      <c r="D270" s="1">
        <v>1052835000</v>
      </c>
      <c r="E270" s="1">
        <f t="shared" si="35"/>
        <v>-231724600</v>
      </c>
      <c r="F270" s="1">
        <f t="shared" si="36"/>
        <v>231724600</v>
      </c>
      <c r="G270" s="1">
        <f t="shared" si="37"/>
        <v>70</v>
      </c>
      <c r="H270" s="1">
        <f t="shared" si="38"/>
        <v>0</v>
      </c>
      <c r="I270" s="1">
        <f t="shared" si="39"/>
        <v>70</v>
      </c>
    </row>
    <row r="271" spans="1:9" x14ac:dyDescent="0.25">
      <c r="A271" s="1" t="s">
        <v>19</v>
      </c>
      <c r="B271" s="1">
        <v>63</v>
      </c>
      <c r="C271" s="1">
        <v>810039400</v>
      </c>
      <c r="D271" s="1">
        <v>1041296900</v>
      </c>
      <c r="E271" s="1">
        <f t="shared" si="35"/>
        <v>-231257500</v>
      </c>
      <c r="F271" s="1">
        <f t="shared" si="36"/>
        <v>231257500</v>
      </c>
      <c r="G271" s="1">
        <f t="shared" si="37"/>
        <v>65</v>
      </c>
      <c r="H271" s="1">
        <f t="shared" si="38"/>
        <v>0</v>
      </c>
      <c r="I271" s="1">
        <f t="shared" si="39"/>
        <v>65</v>
      </c>
    </row>
    <row r="272" spans="1:9" x14ac:dyDescent="0.25">
      <c r="A272" s="1" t="s">
        <v>19</v>
      </c>
      <c r="B272" s="1">
        <v>64</v>
      </c>
      <c r="C272" s="1">
        <v>807550801</v>
      </c>
      <c r="D272" s="1">
        <v>1041871800</v>
      </c>
      <c r="E272" s="1">
        <f t="shared" si="35"/>
        <v>-234320999</v>
      </c>
      <c r="F272" s="1">
        <f t="shared" si="36"/>
        <v>234320999</v>
      </c>
      <c r="G272" s="1">
        <f t="shared" si="37"/>
        <v>78</v>
      </c>
      <c r="H272" s="1">
        <f t="shared" si="38"/>
        <v>0</v>
      </c>
      <c r="I272" s="1">
        <f t="shared" si="39"/>
        <v>78</v>
      </c>
    </row>
    <row r="273" spans="1:9" x14ac:dyDescent="0.25">
      <c r="A273" s="1" t="s">
        <v>19</v>
      </c>
      <c r="B273" s="1">
        <v>65</v>
      </c>
      <c r="C273" s="1">
        <v>807913900</v>
      </c>
      <c r="D273" s="1">
        <v>1066127700</v>
      </c>
      <c r="E273" s="1">
        <f t="shared" si="35"/>
        <v>-258213800</v>
      </c>
      <c r="F273" s="1">
        <f t="shared" si="36"/>
        <v>258213800</v>
      </c>
      <c r="G273" s="1">
        <f t="shared" si="37"/>
        <v>97</v>
      </c>
      <c r="H273" s="1">
        <f t="shared" si="38"/>
        <v>0</v>
      </c>
      <c r="I273" s="1">
        <f t="shared" si="39"/>
        <v>97</v>
      </c>
    </row>
    <row r="274" spans="1:9" x14ac:dyDescent="0.25">
      <c r="A274" s="1" t="s">
        <v>19</v>
      </c>
      <c r="B274" s="1">
        <v>66</v>
      </c>
      <c r="C274" s="1">
        <v>829272500</v>
      </c>
      <c r="D274" s="1">
        <v>1050211800</v>
      </c>
      <c r="E274" s="1">
        <f t="shared" ref="E274:E308" si="40">C274-D274</f>
        <v>-220939300</v>
      </c>
      <c r="F274" s="1">
        <f t="shared" ref="F274:F308" si="41">ABS(E274)</f>
        <v>220939300</v>
      </c>
      <c r="G274" s="1">
        <f t="shared" ref="G274:G308" si="42">_xlfn.RANK.AVG(F274,$F$209:$F$308,1)</f>
        <v>28</v>
      </c>
      <c r="H274" s="1">
        <f t="shared" ref="H274:H308" si="43">IF(E274&gt;0,G274,0)</f>
        <v>0</v>
      </c>
      <c r="I274" s="1">
        <f t="shared" ref="I274:I308" si="44">IF(E274&lt;0,G274,0)</f>
        <v>28</v>
      </c>
    </row>
    <row r="275" spans="1:9" x14ac:dyDescent="0.25">
      <c r="A275" s="1" t="s">
        <v>19</v>
      </c>
      <c r="B275" s="1">
        <v>67</v>
      </c>
      <c r="C275" s="1">
        <v>813761401</v>
      </c>
      <c r="D275" s="1">
        <v>1051390000</v>
      </c>
      <c r="E275" s="1">
        <f t="shared" si="40"/>
        <v>-237628599</v>
      </c>
      <c r="F275" s="1">
        <f t="shared" si="41"/>
        <v>237628599</v>
      </c>
      <c r="G275" s="1">
        <f t="shared" si="42"/>
        <v>87</v>
      </c>
      <c r="H275" s="1">
        <f t="shared" si="43"/>
        <v>0</v>
      </c>
      <c r="I275" s="1">
        <f t="shared" si="44"/>
        <v>87</v>
      </c>
    </row>
    <row r="276" spans="1:9" x14ac:dyDescent="0.25">
      <c r="A276" s="1" t="s">
        <v>19</v>
      </c>
      <c r="B276" s="1">
        <v>68</v>
      </c>
      <c r="C276" s="1">
        <v>806656200</v>
      </c>
      <c r="D276" s="1">
        <v>1051367100</v>
      </c>
      <c r="E276" s="1">
        <f t="shared" si="40"/>
        <v>-244710900</v>
      </c>
      <c r="F276" s="1">
        <f t="shared" si="41"/>
        <v>244710900</v>
      </c>
      <c r="G276" s="1">
        <f t="shared" si="42"/>
        <v>93</v>
      </c>
      <c r="H276" s="1">
        <f t="shared" si="43"/>
        <v>0</v>
      </c>
      <c r="I276" s="1">
        <f t="shared" si="44"/>
        <v>93</v>
      </c>
    </row>
    <row r="277" spans="1:9" x14ac:dyDescent="0.25">
      <c r="A277" s="1" t="s">
        <v>19</v>
      </c>
      <c r="B277" s="1">
        <v>69</v>
      </c>
      <c r="C277" s="1">
        <v>810003000</v>
      </c>
      <c r="D277" s="1">
        <v>1052262800</v>
      </c>
      <c r="E277" s="1">
        <f t="shared" si="40"/>
        <v>-242259800</v>
      </c>
      <c r="F277" s="1">
        <f t="shared" si="41"/>
        <v>242259800</v>
      </c>
      <c r="G277" s="1">
        <f t="shared" si="42"/>
        <v>91</v>
      </c>
      <c r="H277" s="1">
        <f t="shared" si="43"/>
        <v>0</v>
      </c>
      <c r="I277" s="1">
        <f t="shared" si="44"/>
        <v>91</v>
      </c>
    </row>
    <row r="278" spans="1:9" x14ac:dyDescent="0.25">
      <c r="A278" s="1" t="s">
        <v>19</v>
      </c>
      <c r="B278" s="1">
        <v>70</v>
      </c>
      <c r="C278" s="1">
        <v>813409599</v>
      </c>
      <c r="D278" s="1">
        <v>1058449600</v>
      </c>
      <c r="E278" s="1">
        <f t="shared" si="40"/>
        <v>-245040001</v>
      </c>
      <c r="F278" s="1">
        <f t="shared" si="41"/>
        <v>245040001</v>
      </c>
      <c r="G278" s="1">
        <f t="shared" si="42"/>
        <v>94</v>
      </c>
      <c r="H278" s="1">
        <f t="shared" si="43"/>
        <v>0</v>
      </c>
      <c r="I278" s="1">
        <f t="shared" si="44"/>
        <v>94</v>
      </c>
    </row>
    <row r="279" spans="1:9" x14ac:dyDescent="0.25">
      <c r="A279" s="1" t="s">
        <v>19</v>
      </c>
      <c r="B279" s="1">
        <v>71</v>
      </c>
      <c r="C279" s="1">
        <v>806989200</v>
      </c>
      <c r="D279" s="1">
        <v>1098063000</v>
      </c>
      <c r="E279" s="1">
        <f t="shared" si="40"/>
        <v>-291073800</v>
      </c>
      <c r="F279" s="1">
        <f t="shared" si="41"/>
        <v>291073800</v>
      </c>
      <c r="G279" s="1">
        <f t="shared" si="42"/>
        <v>100</v>
      </c>
      <c r="H279" s="1">
        <f t="shared" si="43"/>
        <v>0</v>
      </c>
      <c r="I279" s="1">
        <f t="shared" si="44"/>
        <v>100</v>
      </c>
    </row>
    <row r="280" spans="1:9" x14ac:dyDescent="0.25">
      <c r="A280" s="1" t="s">
        <v>19</v>
      </c>
      <c r="B280" s="1">
        <v>72</v>
      </c>
      <c r="C280" s="1">
        <v>815799799</v>
      </c>
      <c r="D280" s="1">
        <v>1047467200</v>
      </c>
      <c r="E280" s="1">
        <f t="shared" si="40"/>
        <v>-231667401</v>
      </c>
      <c r="F280" s="1">
        <f t="shared" si="41"/>
        <v>231667401</v>
      </c>
      <c r="G280" s="1">
        <f t="shared" si="42"/>
        <v>69</v>
      </c>
      <c r="H280" s="1">
        <f t="shared" si="43"/>
        <v>0</v>
      </c>
      <c r="I280" s="1">
        <f t="shared" si="44"/>
        <v>69</v>
      </c>
    </row>
    <row r="281" spans="1:9" x14ac:dyDescent="0.25">
      <c r="A281" s="1" t="s">
        <v>19</v>
      </c>
      <c r="B281" s="1">
        <v>73</v>
      </c>
      <c r="C281" s="1">
        <v>812628999</v>
      </c>
      <c r="D281" s="1">
        <v>1047502500</v>
      </c>
      <c r="E281" s="1">
        <f t="shared" si="40"/>
        <v>-234873501</v>
      </c>
      <c r="F281" s="1">
        <f t="shared" si="41"/>
        <v>234873501</v>
      </c>
      <c r="G281" s="1">
        <f t="shared" si="42"/>
        <v>80</v>
      </c>
      <c r="H281" s="1">
        <f t="shared" si="43"/>
        <v>0</v>
      </c>
      <c r="I281" s="1">
        <f t="shared" si="44"/>
        <v>80</v>
      </c>
    </row>
    <row r="282" spans="1:9" x14ac:dyDescent="0.25">
      <c r="A282" s="1" t="s">
        <v>19</v>
      </c>
      <c r="B282" s="1">
        <v>74</v>
      </c>
      <c r="C282" s="1">
        <v>817829700</v>
      </c>
      <c r="D282" s="1">
        <v>1046987300</v>
      </c>
      <c r="E282" s="1">
        <f t="shared" si="40"/>
        <v>-229157600</v>
      </c>
      <c r="F282" s="1">
        <f t="shared" si="41"/>
        <v>229157600</v>
      </c>
      <c r="G282" s="1">
        <f t="shared" si="42"/>
        <v>54</v>
      </c>
      <c r="H282" s="1">
        <f t="shared" si="43"/>
        <v>0</v>
      </c>
      <c r="I282" s="1">
        <f t="shared" si="44"/>
        <v>54</v>
      </c>
    </row>
    <row r="283" spans="1:9" x14ac:dyDescent="0.25">
      <c r="A283" s="1" t="s">
        <v>19</v>
      </c>
      <c r="B283" s="1">
        <v>75</v>
      </c>
      <c r="C283" s="1">
        <v>818386400</v>
      </c>
      <c r="D283" s="1">
        <v>1047305600</v>
      </c>
      <c r="E283" s="1">
        <f t="shared" si="40"/>
        <v>-228919200</v>
      </c>
      <c r="F283" s="1">
        <f t="shared" si="41"/>
        <v>228919200</v>
      </c>
      <c r="G283" s="1">
        <f t="shared" si="42"/>
        <v>53</v>
      </c>
      <c r="H283" s="1">
        <f t="shared" si="43"/>
        <v>0</v>
      </c>
      <c r="I283" s="1">
        <f t="shared" si="44"/>
        <v>53</v>
      </c>
    </row>
    <row r="284" spans="1:9" x14ac:dyDescent="0.25">
      <c r="A284" s="1" t="s">
        <v>19</v>
      </c>
      <c r="B284" s="1">
        <v>76</v>
      </c>
      <c r="C284" s="1">
        <v>813044800</v>
      </c>
      <c r="D284" s="1">
        <v>1045377600</v>
      </c>
      <c r="E284" s="1">
        <f t="shared" si="40"/>
        <v>-232332800</v>
      </c>
      <c r="F284" s="1">
        <f t="shared" si="41"/>
        <v>232332800</v>
      </c>
      <c r="G284" s="1">
        <f t="shared" si="42"/>
        <v>71</v>
      </c>
      <c r="H284" s="1">
        <f t="shared" si="43"/>
        <v>0</v>
      </c>
      <c r="I284" s="1">
        <f t="shared" si="44"/>
        <v>71</v>
      </c>
    </row>
    <row r="285" spans="1:9" x14ac:dyDescent="0.25">
      <c r="A285" s="1" t="s">
        <v>19</v>
      </c>
      <c r="B285" s="1">
        <v>77</v>
      </c>
      <c r="C285" s="1">
        <v>817591200</v>
      </c>
      <c r="D285" s="1">
        <v>1048007700</v>
      </c>
      <c r="E285" s="1">
        <f t="shared" si="40"/>
        <v>-230416500</v>
      </c>
      <c r="F285" s="1">
        <f t="shared" si="41"/>
        <v>230416500</v>
      </c>
      <c r="G285" s="1">
        <f t="shared" si="42"/>
        <v>60</v>
      </c>
      <c r="H285" s="1">
        <f t="shared" si="43"/>
        <v>0</v>
      </c>
      <c r="I285" s="1">
        <f t="shared" si="44"/>
        <v>60</v>
      </c>
    </row>
    <row r="286" spans="1:9" x14ac:dyDescent="0.25">
      <c r="A286" s="1" t="s">
        <v>19</v>
      </c>
      <c r="B286" s="1">
        <v>78</v>
      </c>
      <c r="C286" s="1">
        <v>815999001</v>
      </c>
      <c r="D286" s="1">
        <v>1045516400</v>
      </c>
      <c r="E286" s="1">
        <f t="shared" si="40"/>
        <v>-229517399</v>
      </c>
      <c r="F286" s="1">
        <f t="shared" si="41"/>
        <v>229517399</v>
      </c>
      <c r="G286" s="1">
        <f t="shared" si="42"/>
        <v>57</v>
      </c>
      <c r="H286" s="1">
        <f t="shared" si="43"/>
        <v>0</v>
      </c>
      <c r="I286" s="1">
        <f t="shared" si="44"/>
        <v>57</v>
      </c>
    </row>
    <row r="287" spans="1:9" x14ac:dyDescent="0.25">
      <c r="A287" s="1" t="s">
        <v>19</v>
      </c>
      <c r="B287" s="1">
        <v>79</v>
      </c>
      <c r="C287" s="1">
        <v>812745300</v>
      </c>
      <c r="D287" s="1">
        <v>1046791500</v>
      </c>
      <c r="E287" s="1">
        <f t="shared" si="40"/>
        <v>-234046200</v>
      </c>
      <c r="F287" s="1">
        <f t="shared" si="41"/>
        <v>234046200</v>
      </c>
      <c r="G287" s="1">
        <f t="shared" si="42"/>
        <v>77</v>
      </c>
      <c r="H287" s="1">
        <f t="shared" si="43"/>
        <v>0</v>
      </c>
      <c r="I287" s="1">
        <f t="shared" si="44"/>
        <v>77</v>
      </c>
    </row>
    <row r="288" spans="1:9" x14ac:dyDescent="0.25">
      <c r="A288" s="1" t="s">
        <v>19</v>
      </c>
      <c r="B288" s="1">
        <v>80</v>
      </c>
      <c r="C288" s="1">
        <v>818831800</v>
      </c>
      <c r="D288" s="1">
        <v>1046276100</v>
      </c>
      <c r="E288" s="1">
        <f t="shared" si="40"/>
        <v>-227444300</v>
      </c>
      <c r="F288" s="1">
        <f t="shared" si="41"/>
        <v>227444300</v>
      </c>
      <c r="G288" s="1">
        <f t="shared" si="42"/>
        <v>48</v>
      </c>
      <c r="H288" s="1">
        <f t="shared" si="43"/>
        <v>0</v>
      </c>
      <c r="I288" s="1">
        <f t="shared" si="44"/>
        <v>48</v>
      </c>
    </row>
    <row r="289" spans="1:9" x14ac:dyDescent="0.25">
      <c r="A289" s="1" t="s">
        <v>19</v>
      </c>
      <c r="B289" s="1">
        <v>81</v>
      </c>
      <c r="C289" s="1">
        <v>809281701</v>
      </c>
      <c r="D289" s="1">
        <v>1048189200</v>
      </c>
      <c r="E289" s="1">
        <f t="shared" si="40"/>
        <v>-238907499</v>
      </c>
      <c r="F289" s="1">
        <f t="shared" si="41"/>
        <v>238907499</v>
      </c>
      <c r="G289" s="1">
        <f t="shared" si="42"/>
        <v>89</v>
      </c>
      <c r="H289" s="1">
        <f t="shared" si="43"/>
        <v>0</v>
      </c>
      <c r="I289" s="1">
        <f t="shared" si="44"/>
        <v>89</v>
      </c>
    </row>
    <row r="290" spans="1:9" x14ac:dyDescent="0.25">
      <c r="A290" s="1" t="s">
        <v>19</v>
      </c>
      <c r="B290" s="1">
        <v>82</v>
      </c>
      <c r="C290" s="1">
        <v>826500901</v>
      </c>
      <c r="D290" s="1">
        <v>1046425200</v>
      </c>
      <c r="E290" s="1">
        <f t="shared" si="40"/>
        <v>-219924299</v>
      </c>
      <c r="F290" s="1">
        <f t="shared" si="41"/>
        <v>219924299</v>
      </c>
      <c r="G290" s="1">
        <f t="shared" si="42"/>
        <v>26</v>
      </c>
      <c r="H290" s="1">
        <f t="shared" si="43"/>
        <v>0</v>
      </c>
      <c r="I290" s="1">
        <f t="shared" si="44"/>
        <v>26</v>
      </c>
    </row>
    <row r="291" spans="1:9" x14ac:dyDescent="0.25">
      <c r="A291" s="1" t="s">
        <v>19</v>
      </c>
      <c r="B291" s="1">
        <v>83</v>
      </c>
      <c r="C291" s="1">
        <v>827175900</v>
      </c>
      <c r="D291" s="1">
        <v>1043258400</v>
      </c>
      <c r="E291" s="1">
        <f t="shared" si="40"/>
        <v>-216082500</v>
      </c>
      <c r="F291" s="1">
        <f t="shared" si="41"/>
        <v>216082500</v>
      </c>
      <c r="G291" s="1">
        <f t="shared" si="42"/>
        <v>18</v>
      </c>
      <c r="H291" s="1">
        <f t="shared" si="43"/>
        <v>0</v>
      </c>
      <c r="I291" s="1">
        <f t="shared" si="44"/>
        <v>18</v>
      </c>
    </row>
    <row r="292" spans="1:9" x14ac:dyDescent="0.25">
      <c r="A292" s="1" t="s">
        <v>19</v>
      </c>
      <c r="B292" s="1">
        <v>84</v>
      </c>
      <c r="C292" s="1">
        <v>817203101</v>
      </c>
      <c r="D292" s="1">
        <v>1046662900</v>
      </c>
      <c r="E292" s="1">
        <f t="shared" si="40"/>
        <v>-229459799</v>
      </c>
      <c r="F292" s="1">
        <f t="shared" si="41"/>
        <v>229459799</v>
      </c>
      <c r="G292" s="1">
        <f t="shared" si="42"/>
        <v>56</v>
      </c>
      <c r="H292" s="1">
        <f t="shared" si="43"/>
        <v>0</v>
      </c>
      <c r="I292" s="1">
        <f t="shared" si="44"/>
        <v>56</v>
      </c>
    </row>
    <row r="293" spans="1:9" x14ac:dyDescent="0.25">
      <c r="A293" s="1" t="s">
        <v>19</v>
      </c>
      <c r="B293" s="1">
        <v>85</v>
      </c>
      <c r="C293" s="1">
        <v>814947400</v>
      </c>
      <c r="D293" s="1">
        <v>1046358200</v>
      </c>
      <c r="E293" s="1">
        <f t="shared" si="40"/>
        <v>-231410800</v>
      </c>
      <c r="F293" s="1">
        <f t="shared" si="41"/>
        <v>231410800</v>
      </c>
      <c r="G293" s="1">
        <f t="shared" si="42"/>
        <v>66</v>
      </c>
      <c r="H293" s="1">
        <f t="shared" si="43"/>
        <v>0</v>
      </c>
      <c r="I293" s="1">
        <f t="shared" si="44"/>
        <v>66</v>
      </c>
    </row>
    <row r="294" spans="1:9" x14ac:dyDescent="0.25">
      <c r="A294" s="1" t="s">
        <v>19</v>
      </c>
      <c r="B294" s="1">
        <v>86</v>
      </c>
      <c r="C294" s="1">
        <v>825239299</v>
      </c>
      <c r="D294" s="1">
        <v>1043626300</v>
      </c>
      <c r="E294" s="1">
        <f t="shared" si="40"/>
        <v>-218387001</v>
      </c>
      <c r="F294" s="1">
        <f t="shared" si="41"/>
        <v>218387001</v>
      </c>
      <c r="G294" s="1">
        <f t="shared" si="42"/>
        <v>22</v>
      </c>
      <c r="H294" s="1">
        <f t="shared" si="43"/>
        <v>0</v>
      </c>
      <c r="I294" s="1">
        <f t="shared" si="44"/>
        <v>22</v>
      </c>
    </row>
    <row r="295" spans="1:9" x14ac:dyDescent="0.25">
      <c r="A295" s="1" t="s">
        <v>19</v>
      </c>
      <c r="B295" s="1">
        <v>87</v>
      </c>
      <c r="C295" s="1">
        <v>818661001</v>
      </c>
      <c r="D295" s="1">
        <v>1044075100</v>
      </c>
      <c r="E295" s="1">
        <f t="shared" si="40"/>
        <v>-225414099</v>
      </c>
      <c r="F295" s="1">
        <f t="shared" si="41"/>
        <v>225414099</v>
      </c>
      <c r="G295" s="1">
        <f t="shared" si="42"/>
        <v>38</v>
      </c>
      <c r="H295" s="1">
        <f t="shared" si="43"/>
        <v>0</v>
      </c>
      <c r="I295" s="1">
        <f t="shared" si="44"/>
        <v>38</v>
      </c>
    </row>
    <row r="296" spans="1:9" x14ac:dyDescent="0.25">
      <c r="A296" s="1" t="s">
        <v>19</v>
      </c>
      <c r="B296" s="1">
        <v>88</v>
      </c>
      <c r="C296" s="1">
        <v>818970801</v>
      </c>
      <c r="D296" s="1">
        <v>1043098200</v>
      </c>
      <c r="E296" s="1">
        <f t="shared" si="40"/>
        <v>-224127399</v>
      </c>
      <c r="F296" s="1">
        <f t="shared" si="41"/>
        <v>224127399</v>
      </c>
      <c r="G296" s="1">
        <f t="shared" si="42"/>
        <v>33</v>
      </c>
      <c r="H296" s="1">
        <f t="shared" si="43"/>
        <v>0</v>
      </c>
      <c r="I296" s="1">
        <f t="shared" si="44"/>
        <v>33</v>
      </c>
    </row>
    <row r="297" spans="1:9" x14ac:dyDescent="0.25">
      <c r="A297" s="1" t="s">
        <v>19</v>
      </c>
      <c r="B297" s="1">
        <v>89</v>
      </c>
      <c r="C297" s="1">
        <v>820984100</v>
      </c>
      <c r="D297" s="1">
        <v>1043358000</v>
      </c>
      <c r="E297" s="1">
        <f t="shared" si="40"/>
        <v>-222373900</v>
      </c>
      <c r="F297" s="1">
        <f t="shared" si="41"/>
        <v>222373900</v>
      </c>
      <c r="G297" s="1">
        <f t="shared" si="42"/>
        <v>32</v>
      </c>
      <c r="H297" s="1">
        <f t="shared" si="43"/>
        <v>0</v>
      </c>
      <c r="I297" s="1">
        <f t="shared" si="44"/>
        <v>32</v>
      </c>
    </row>
    <row r="298" spans="1:9" x14ac:dyDescent="0.25">
      <c r="A298" s="1" t="s">
        <v>19</v>
      </c>
      <c r="B298" s="1">
        <v>90</v>
      </c>
      <c r="C298" s="1">
        <v>828172500</v>
      </c>
      <c r="D298" s="1">
        <v>1043577500</v>
      </c>
      <c r="E298" s="1">
        <f t="shared" si="40"/>
        <v>-215405000</v>
      </c>
      <c r="F298" s="1">
        <f t="shared" si="41"/>
        <v>215405000</v>
      </c>
      <c r="G298" s="1">
        <f t="shared" si="42"/>
        <v>15</v>
      </c>
      <c r="H298" s="1">
        <f t="shared" si="43"/>
        <v>0</v>
      </c>
      <c r="I298" s="1">
        <f t="shared" si="44"/>
        <v>15</v>
      </c>
    </row>
    <row r="299" spans="1:9" x14ac:dyDescent="0.25">
      <c r="A299" s="1" t="s">
        <v>19</v>
      </c>
      <c r="B299" s="1">
        <v>91</v>
      </c>
      <c r="C299" s="1">
        <v>818208299</v>
      </c>
      <c r="D299" s="1">
        <v>1043092800</v>
      </c>
      <c r="E299" s="1">
        <f t="shared" si="40"/>
        <v>-224884501</v>
      </c>
      <c r="F299" s="1">
        <f t="shared" si="41"/>
        <v>224884501</v>
      </c>
      <c r="G299" s="1">
        <f t="shared" si="42"/>
        <v>36</v>
      </c>
      <c r="H299" s="1">
        <f t="shared" si="43"/>
        <v>0</v>
      </c>
      <c r="I299" s="1">
        <f t="shared" si="44"/>
        <v>36</v>
      </c>
    </row>
    <row r="300" spans="1:9" x14ac:dyDescent="0.25">
      <c r="A300" s="1" t="s">
        <v>19</v>
      </c>
      <c r="B300" s="1">
        <v>92</v>
      </c>
      <c r="C300" s="1">
        <v>827718799</v>
      </c>
      <c r="D300" s="1">
        <v>1042917600</v>
      </c>
      <c r="E300" s="1">
        <f t="shared" si="40"/>
        <v>-215198801</v>
      </c>
      <c r="F300" s="1">
        <f t="shared" si="41"/>
        <v>215198801</v>
      </c>
      <c r="G300" s="1">
        <f t="shared" si="42"/>
        <v>14</v>
      </c>
      <c r="H300" s="1">
        <f t="shared" si="43"/>
        <v>0</v>
      </c>
      <c r="I300" s="1">
        <f t="shared" si="44"/>
        <v>14</v>
      </c>
    </row>
    <row r="301" spans="1:9" x14ac:dyDescent="0.25">
      <c r="A301" s="1" t="s">
        <v>19</v>
      </c>
      <c r="B301" s="1">
        <v>93</v>
      </c>
      <c r="C301" s="1">
        <v>813852200</v>
      </c>
      <c r="D301" s="1">
        <v>1044878300</v>
      </c>
      <c r="E301" s="1">
        <f t="shared" si="40"/>
        <v>-231026100</v>
      </c>
      <c r="F301" s="1">
        <f t="shared" si="41"/>
        <v>231026100</v>
      </c>
      <c r="G301" s="1">
        <f t="shared" si="42"/>
        <v>64</v>
      </c>
      <c r="H301" s="1">
        <f t="shared" si="43"/>
        <v>0</v>
      </c>
      <c r="I301" s="1">
        <f t="shared" si="44"/>
        <v>64</v>
      </c>
    </row>
    <row r="302" spans="1:9" x14ac:dyDescent="0.25">
      <c r="A302" s="1" t="s">
        <v>19</v>
      </c>
      <c r="B302" s="1">
        <v>94</v>
      </c>
      <c r="C302" s="1">
        <v>820405300</v>
      </c>
      <c r="D302" s="1">
        <v>1045986200</v>
      </c>
      <c r="E302" s="1">
        <f t="shared" si="40"/>
        <v>-225580900</v>
      </c>
      <c r="F302" s="1">
        <f t="shared" si="41"/>
        <v>225580900</v>
      </c>
      <c r="G302" s="1">
        <f t="shared" si="42"/>
        <v>39</v>
      </c>
      <c r="H302" s="1">
        <f t="shared" si="43"/>
        <v>0</v>
      </c>
      <c r="I302" s="1">
        <f t="shared" si="44"/>
        <v>39</v>
      </c>
    </row>
    <row r="303" spans="1:9" x14ac:dyDescent="0.25">
      <c r="A303" s="1" t="s">
        <v>19</v>
      </c>
      <c r="B303" s="1">
        <v>95</v>
      </c>
      <c r="C303" s="1">
        <v>823723399</v>
      </c>
      <c r="D303" s="1">
        <v>1043588400</v>
      </c>
      <c r="E303" s="1">
        <f t="shared" si="40"/>
        <v>-219865001</v>
      </c>
      <c r="F303" s="1">
        <f t="shared" si="41"/>
        <v>219865001</v>
      </c>
      <c r="G303" s="1">
        <f t="shared" si="42"/>
        <v>25</v>
      </c>
      <c r="H303" s="1">
        <f t="shared" si="43"/>
        <v>0</v>
      </c>
      <c r="I303" s="1">
        <f t="shared" si="44"/>
        <v>25</v>
      </c>
    </row>
    <row r="304" spans="1:9" x14ac:dyDescent="0.25">
      <c r="A304" s="1" t="s">
        <v>19</v>
      </c>
      <c r="B304" s="1">
        <v>96</v>
      </c>
      <c r="C304" s="1">
        <v>825862500</v>
      </c>
      <c r="D304" s="1">
        <v>1044433400</v>
      </c>
      <c r="E304" s="1">
        <f t="shared" si="40"/>
        <v>-218570900</v>
      </c>
      <c r="F304" s="1">
        <f t="shared" si="41"/>
        <v>218570900</v>
      </c>
      <c r="G304" s="1">
        <f t="shared" si="42"/>
        <v>23</v>
      </c>
      <c r="H304" s="1">
        <f t="shared" si="43"/>
        <v>0</v>
      </c>
      <c r="I304" s="1">
        <f t="shared" si="44"/>
        <v>23</v>
      </c>
    </row>
    <row r="305" spans="1:9" x14ac:dyDescent="0.25">
      <c r="A305" s="1" t="s">
        <v>19</v>
      </c>
      <c r="B305" s="1">
        <v>97</v>
      </c>
      <c r="C305" s="1">
        <v>817981301</v>
      </c>
      <c r="D305" s="1">
        <v>1045663000</v>
      </c>
      <c r="E305" s="1">
        <f t="shared" si="40"/>
        <v>-227681699</v>
      </c>
      <c r="F305" s="1">
        <f t="shared" si="41"/>
        <v>227681699</v>
      </c>
      <c r="G305" s="1">
        <f t="shared" si="42"/>
        <v>49</v>
      </c>
      <c r="H305" s="1">
        <f t="shared" si="43"/>
        <v>0</v>
      </c>
      <c r="I305" s="1">
        <f t="shared" si="44"/>
        <v>49</v>
      </c>
    </row>
    <row r="306" spans="1:9" x14ac:dyDescent="0.25">
      <c r="A306" s="1" t="s">
        <v>19</v>
      </c>
      <c r="B306" s="1">
        <v>98</v>
      </c>
      <c r="C306" s="1">
        <v>822278100</v>
      </c>
      <c r="D306" s="1">
        <v>1044507900</v>
      </c>
      <c r="E306" s="1">
        <f t="shared" si="40"/>
        <v>-222229800</v>
      </c>
      <c r="F306" s="1">
        <f t="shared" si="41"/>
        <v>222229800</v>
      </c>
      <c r="G306" s="1">
        <f t="shared" si="42"/>
        <v>31</v>
      </c>
      <c r="H306" s="1">
        <f t="shared" si="43"/>
        <v>0</v>
      </c>
      <c r="I306" s="1">
        <f t="shared" si="44"/>
        <v>31</v>
      </c>
    </row>
    <row r="307" spans="1:9" x14ac:dyDescent="0.25">
      <c r="A307" s="1" t="s">
        <v>19</v>
      </c>
      <c r="B307" s="1">
        <v>99</v>
      </c>
      <c r="C307" s="1">
        <v>857578099</v>
      </c>
      <c r="D307" s="1">
        <v>1045523700</v>
      </c>
      <c r="E307" s="1">
        <f t="shared" si="40"/>
        <v>-187945601</v>
      </c>
      <c r="F307" s="1">
        <f t="shared" si="41"/>
        <v>187945601</v>
      </c>
      <c r="G307" s="1">
        <f t="shared" si="42"/>
        <v>3</v>
      </c>
      <c r="H307" s="1">
        <f t="shared" si="43"/>
        <v>0</v>
      </c>
      <c r="I307" s="1">
        <f t="shared" si="44"/>
        <v>3</v>
      </c>
    </row>
    <row r="308" spans="1:9" x14ac:dyDescent="0.25">
      <c r="A308" s="1" t="s">
        <v>19</v>
      </c>
      <c r="B308" s="1">
        <v>100</v>
      </c>
      <c r="C308" s="1">
        <v>830373000</v>
      </c>
      <c r="D308" s="1">
        <v>1045006300</v>
      </c>
      <c r="E308" s="1">
        <f t="shared" si="40"/>
        <v>-214633300</v>
      </c>
      <c r="F308" s="1">
        <f t="shared" si="41"/>
        <v>214633300</v>
      </c>
      <c r="G308" s="1">
        <f t="shared" si="42"/>
        <v>12</v>
      </c>
      <c r="H308" s="1">
        <f t="shared" si="43"/>
        <v>0</v>
      </c>
      <c r="I308" s="1">
        <f t="shared" si="44"/>
        <v>12</v>
      </c>
    </row>
  </sheetData>
  <autoFilter ref="A104:I104">
    <sortState ref="A105:I204">
      <sortCondition ref="G104"/>
    </sortState>
  </autoFilter>
  <mergeCells count="3">
    <mergeCell ref="N14:T18"/>
    <mergeCell ref="N117:T121"/>
    <mergeCell ref="N222:T2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7"/>
  <sheetViews>
    <sheetView topLeftCell="A197" workbookViewId="0">
      <selection activeCell="M210" sqref="M210"/>
    </sheetView>
  </sheetViews>
  <sheetFormatPr defaultRowHeight="15" x14ac:dyDescent="0.25"/>
  <cols>
    <col min="1" max="1" width="11.85546875" bestFit="1" customWidth="1"/>
    <col min="2" max="2" width="13.85546875" bestFit="1" customWidth="1"/>
    <col min="3" max="3" width="14.5703125" bestFit="1" customWidth="1"/>
    <col min="4" max="4" width="14.7109375" bestFit="1" customWidth="1"/>
    <col min="5" max="5" width="11.85546875" bestFit="1" customWidth="1"/>
    <col min="6" max="6" width="11.28515625" bestFit="1" customWidth="1"/>
    <col min="7" max="7" width="7.5703125" bestFit="1" customWidth="1"/>
    <col min="8" max="8" width="15.140625" bestFit="1" customWidth="1"/>
    <col min="9" max="9" width="15.85546875" bestFit="1" customWidth="1"/>
    <col min="17" max="17" width="15" bestFit="1" customWidth="1"/>
    <col min="18" max="18" width="15.7109375" bestFit="1" customWidth="1"/>
    <col min="19" max="19" width="11.7109375" bestFit="1" customWidth="1"/>
    <col min="20" max="20" width="12" bestFit="1" customWidth="1"/>
  </cols>
  <sheetData>
    <row r="1" spans="1:20" x14ac:dyDescent="0.25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Q1" s="1" t="s">
        <v>11</v>
      </c>
      <c r="R1" s="1" t="s">
        <v>12</v>
      </c>
      <c r="S1" s="1" t="s">
        <v>14</v>
      </c>
      <c r="T1" s="1" t="s">
        <v>15</v>
      </c>
    </row>
    <row r="2" spans="1:20" x14ac:dyDescent="0.25">
      <c r="A2" s="1" t="s">
        <v>1</v>
      </c>
      <c r="B2" s="1">
        <v>1</v>
      </c>
      <c r="C2" s="1">
        <v>967343400</v>
      </c>
      <c r="D2" s="1">
        <v>825898900</v>
      </c>
      <c r="E2" s="1">
        <f>C2-D2</f>
        <v>141444500</v>
      </c>
      <c r="F2" s="1">
        <f>ABS(E2)</f>
        <v>141444500</v>
      </c>
      <c r="G2" s="1">
        <f>_xlfn.RANK.AVG(F2,$F$2:$F$101,1)</f>
        <v>52</v>
      </c>
      <c r="H2" s="1">
        <f>IF(E2&gt;0,G2,0)</f>
        <v>52</v>
      </c>
      <c r="I2" s="1">
        <f>IF(E2&lt;0,G2,0)</f>
        <v>0</v>
      </c>
      <c r="N2" s="1" t="s">
        <v>9</v>
      </c>
      <c r="O2" s="1">
        <f>SUM(H2:H101)</f>
        <v>5050</v>
      </c>
      <c r="Q2" s="1">
        <f>100*(101)/4</f>
        <v>2525</v>
      </c>
      <c r="R2" s="1">
        <f>SQRT(100*101*201/24)</f>
        <v>290.83930270855763</v>
      </c>
      <c r="S2" s="1">
        <f>(O4-Q2)/R2</f>
        <v>-8.6817702301061956</v>
      </c>
      <c r="T2" s="1">
        <f>_xlfn.NORM.S.DIST(-ABS(S2),1)*2</f>
        <v>3.8965598450959092E-18</v>
      </c>
    </row>
    <row r="3" spans="1:20" x14ac:dyDescent="0.25">
      <c r="A3" s="1" t="s">
        <v>1</v>
      </c>
      <c r="B3" s="1">
        <v>2</v>
      </c>
      <c r="C3" s="1">
        <v>995436400</v>
      </c>
      <c r="D3" s="1">
        <v>816761600</v>
      </c>
      <c r="E3" s="1">
        <f t="shared" ref="E3:E66" si="0">C3-D3</f>
        <v>178674800</v>
      </c>
      <c r="F3" s="1">
        <f t="shared" ref="F3:F66" si="1">ABS(E3)</f>
        <v>178674800</v>
      </c>
      <c r="G3" s="1">
        <f t="shared" ref="G3:G66" si="2">_xlfn.RANK.AVG(F3,$F$2:$F$101,1)</f>
        <v>93</v>
      </c>
      <c r="H3" s="1">
        <f t="shared" ref="H3:H66" si="3">IF(E3&gt;0,G3,0)</f>
        <v>93</v>
      </c>
      <c r="I3" s="1">
        <f t="shared" ref="I3:I66" si="4">IF(E3&lt;0,G3,0)</f>
        <v>0</v>
      </c>
      <c r="N3" s="1" t="s">
        <v>10</v>
      </c>
      <c r="O3" s="1">
        <f>SUM(I2:I101)</f>
        <v>0</v>
      </c>
    </row>
    <row r="4" spans="1:20" x14ac:dyDescent="0.25">
      <c r="A4" s="1" t="s">
        <v>1</v>
      </c>
      <c r="B4" s="1">
        <v>3</v>
      </c>
      <c r="C4" s="1">
        <v>987254501</v>
      </c>
      <c r="D4" s="1">
        <v>817449900</v>
      </c>
      <c r="E4" s="1">
        <f t="shared" si="0"/>
        <v>169804601</v>
      </c>
      <c r="F4" s="1">
        <f t="shared" si="1"/>
        <v>169804601</v>
      </c>
      <c r="G4" s="1">
        <f t="shared" si="2"/>
        <v>89</v>
      </c>
      <c r="H4" s="1">
        <f t="shared" si="3"/>
        <v>89</v>
      </c>
      <c r="I4" s="1">
        <f t="shared" si="4"/>
        <v>0</v>
      </c>
      <c r="N4" s="1" t="s">
        <v>13</v>
      </c>
      <c r="O4" s="1">
        <f>MIN(O2,O3)</f>
        <v>0</v>
      </c>
    </row>
    <row r="5" spans="1:20" x14ac:dyDescent="0.25">
      <c r="A5" s="1" t="s">
        <v>1</v>
      </c>
      <c r="B5" s="1">
        <v>4</v>
      </c>
      <c r="C5" s="1">
        <v>978289700</v>
      </c>
      <c r="D5" s="1">
        <v>817550600</v>
      </c>
      <c r="E5" s="1">
        <f t="shared" si="0"/>
        <v>160739100</v>
      </c>
      <c r="F5" s="1">
        <f t="shared" si="1"/>
        <v>160739100</v>
      </c>
      <c r="G5" s="1">
        <f t="shared" si="2"/>
        <v>82</v>
      </c>
      <c r="H5" s="1">
        <f t="shared" si="3"/>
        <v>82</v>
      </c>
      <c r="I5" s="1">
        <f t="shared" si="4"/>
        <v>0</v>
      </c>
    </row>
    <row r="6" spans="1:20" x14ac:dyDescent="0.25">
      <c r="A6" s="1" t="s">
        <v>1</v>
      </c>
      <c r="B6" s="1">
        <v>5</v>
      </c>
      <c r="C6" s="1">
        <v>952281601</v>
      </c>
      <c r="D6" s="1">
        <v>817066600</v>
      </c>
      <c r="E6" s="1">
        <f t="shared" si="0"/>
        <v>135215001</v>
      </c>
      <c r="F6" s="1">
        <f t="shared" si="1"/>
        <v>135215001</v>
      </c>
      <c r="G6" s="1">
        <f t="shared" si="2"/>
        <v>38</v>
      </c>
      <c r="H6" s="1">
        <f t="shared" si="3"/>
        <v>38</v>
      </c>
      <c r="I6" s="1">
        <f t="shared" si="4"/>
        <v>0</v>
      </c>
    </row>
    <row r="7" spans="1:20" x14ac:dyDescent="0.25">
      <c r="A7" s="1" t="s">
        <v>1</v>
      </c>
      <c r="B7" s="1">
        <v>6</v>
      </c>
      <c r="C7" s="1">
        <v>980906599</v>
      </c>
      <c r="D7" s="1">
        <v>815351800</v>
      </c>
      <c r="E7" s="1">
        <f t="shared" si="0"/>
        <v>165554799</v>
      </c>
      <c r="F7" s="1">
        <f t="shared" si="1"/>
        <v>165554799</v>
      </c>
      <c r="G7" s="1">
        <f t="shared" si="2"/>
        <v>86</v>
      </c>
      <c r="H7" s="1">
        <f t="shared" si="3"/>
        <v>86</v>
      </c>
      <c r="I7" s="1">
        <f t="shared" si="4"/>
        <v>0</v>
      </c>
    </row>
    <row r="8" spans="1:20" x14ac:dyDescent="0.25">
      <c r="A8" s="1" t="s">
        <v>1</v>
      </c>
      <c r="B8" s="1">
        <v>7</v>
      </c>
      <c r="C8" s="1">
        <v>985688500</v>
      </c>
      <c r="D8" s="1">
        <v>820974700</v>
      </c>
      <c r="E8" s="1">
        <f t="shared" si="0"/>
        <v>164713800</v>
      </c>
      <c r="F8" s="1">
        <f t="shared" si="1"/>
        <v>164713800</v>
      </c>
      <c r="G8" s="1">
        <f t="shared" si="2"/>
        <v>84</v>
      </c>
      <c r="H8" s="1">
        <f t="shared" si="3"/>
        <v>84</v>
      </c>
      <c r="I8" s="1">
        <f t="shared" si="4"/>
        <v>0</v>
      </c>
    </row>
    <row r="9" spans="1:20" x14ac:dyDescent="0.25">
      <c r="A9" s="1" t="s">
        <v>1</v>
      </c>
      <c r="B9" s="1">
        <v>8</v>
      </c>
      <c r="C9" s="1">
        <v>1033014800</v>
      </c>
      <c r="D9" s="1">
        <v>817303400</v>
      </c>
      <c r="E9" s="1">
        <f t="shared" si="0"/>
        <v>215711400</v>
      </c>
      <c r="F9" s="1">
        <f t="shared" si="1"/>
        <v>215711400</v>
      </c>
      <c r="G9" s="1">
        <f t="shared" si="2"/>
        <v>97</v>
      </c>
      <c r="H9" s="1">
        <f t="shared" si="3"/>
        <v>97</v>
      </c>
      <c r="I9" s="1">
        <f t="shared" si="4"/>
        <v>0</v>
      </c>
    </row>
    <row r="10" spans="1:20" x14ac:dyDescent="0.25">
      <c r="A10" s="1" t="s">
        <v>1</v>
      </c>
      <c r="B10" s="1">
        <v>9</v>
      </c>
      <c r="C10" s="1">
        <v>983934399</v>
      </c>
      <c r="D10" s="1">
        <v>818758300</v>
      </c>
      <c r="E10" s="1">
        <f t="shared" si="0"/>
        <v>165176099</v>
      </c>
      <c r="F10" s="1">
        <f t="shared" si="1"/>
        <v>165176099</v>
      </c>
      <c r="G10" s="1">
        <f t="shared" si="2"/>
        <v>85</v>
      </c>
      <c r="H10" s="1">
        <f t="shared" si="3"/>
        <v>85</v>
      </c>
      <c r="I10" s="1">
        <f t="shared" si="4"/>
        <v>0</v>
      </c>
    </row>
    <row r="11" spans="1:20" x14ac:dyDescent="0.25">
      <c r="A11" s="1" t="s">
        <v>1</v>
      </c>
      <c r="B11" s="1">
        <v>10</v>
      </c>
      <c r="C11" s="1">
        <v>971742199</v>
      </c>
      <c r="D11" s="1">
        <v>817071400</v>
      </c>
      <c r="E11" s="1">
        <f t="shared" si="0"/>
        <v>154670799</v>
      </c>
      <c r="F11" s="1">
        <f t="shared" si="1"/>
        <v>154670799</v>
      </c>
      <c r="G11" s="1">
        <f t="shared" si="2"/>
        <v>74</v>
      </c>
      <c r="H11" s="1">
        <f t="shared" si="3"/>
        <v>74</v>
      </c>
      <c r="I11" s="1">
        <f t="shared" si="4"/>
        <v>0</v>
      </c>
    </row>
    <row r="12" spans="1:20" x14ac:dyDescent="0.25">
      <c r="A12" s="1" t="s">
        <v>1</v>
      </c>
      <c r="B12" s="1">
        <v>11</v>
      </c>
      <c r="C12" s="1">
        <v>961003800</v>
      </c>
      <c r="D12" s="1">
        <v>816571100</v>
      </c>
      <c r="E12" s="1">
        <f t="shared" si="0"/>
        <v>144432700</v>
      </c>
      <c r="F12" s="1">
        <f t="shared" si="1"/>
        <v>144432700</v>
      </c>
      <c r="G12" s="1">
        <f t="shared" si="2"/>
        <v>57</v>
      </c>
      <c r="H12" s="1">
        <f t="shared" si="3"/>
        <v>57</v>
      </c>
      <c r="I12" s="1">
        <f t="shared" si="4"/>
        <v>0</v>
      </c>
    </row>
    <row r="13" spans="1:20" ht="15" customHeight="1" x14ac:dyDescent="0.25">
      <c r="A13" s="1" t="s">
        <v>1</v>
      </c>
      <c r="B13" s="1">
        <v>12</v>
      </c>
      <c r="C13" s="1">
        <v>962892200</v>
      </c>
      <c r="D13" s="1">
        <v>835923000</v>
      </c>
      <c r="E13" s="1">
        <f t="shared" si="0"/>
        <v>126969200</v>
      </c>
      <c r="F13" s="1">
        <f t="shared" si="1"/>
        <v>126969200</v>
      </c>
      <c r="G13" s="1">
        <f t="shared" si="2"/>
        <v>15</v>
      </c>
      <c r="H13" s="1">
        <f t="shared" si="3"/>
        <v>15</v>
      </c>
      <c r="I13" s="1">
        <f t="shared" si="4"/>
        <v>0</v>
      </c>
      <c r="N13" s="2" t="s">
        <v>16</v>
      </c>
      <c r="O13" s="2"/>
      <c r="P13" s="2"/>
      <c r="Q13" s="2"/>
      <c r="R13" s="2"/>
      <c r="S13" s="2"/>
      <c r="T13" s="2"/>
    </row>
    <row r="14" spans="1:20" ht="15" customHeight="1" x14ac:dyDescent="0.25">
      <c r="A14" s="1" t="s">
        <v>1</v>
      </c>
      <c r="B14" s="1">
        <v>13</v>
      </c>
      <c r="C14" s="1">
        <v>966370300</v>
      </c>
      <c r="D14" s="1">
        <v>840593700</v>
      </c>
      <c r="E14" s="1">
        <f t="shared" si="0"/>
        <v>125776600</v>
      </c>
      <c r="F14" s="1">
        <f t="shared" si="1"/>
        <v>125776600</v>
      </c>
      <c r="G14" s="1">
        <f t="shared" si="2"/>
        <v>12</v>
      </c>
      <c r="H14" s="1">
        <f t="shared" si="3"/>
        <v>12</v>
      </c>
      <c r="I14" s="1">
        <f t="shared" si="4"/>
        <v>0</v>
      </c>
      <c r="N14" s="2"/>
      <c r="O14" s="2"/>
      <c r="P14" s="2"/>
      <c r="Q14" s="2"/>
      <c r="R14" s="2"/>
      <c r="S14" s="2"/>
      <c r="T14" s="2"/>
    </row>
    <row r="15" spans="1:20" ht="15" customHeight="1" x14ac:dyDescent="0.25">
      <c r="A15" s="1" t="s">
        <v>1</v>
      </c>
      <c r="B15" s="1">
        <v>14</v>
      </c>
      <c r="C15" s="1">
        <v>981407900</v>
      </c>
      <c r="D15" s="1">
        <v>814443700</v>
      </c>
      <c r="E15" s="1">
        <f t="shared" si="0"/>
        <v>166964200</v>
      </c>
      <c r="F15" s="1">
        <f t="shared" si="1"/>
        <v>166964200</v>
      </c>
      <c r="G15" s="1">
        <f t="shared" si="2"/>
        <v>87</v>
      </c>
      <c r="H15" s="1">
        <f t="shared" si="3"/>
        <v>87</v>
      </c>
      <c r="I15" s="1">
        <f t="shared" si="4"/>
        <v>0</v>
      </c>
      <c r="N15" s="2"/>
      <c r="O15" s="2"/>
      <c r="P15" s="2"/>
      <c r="Q15" s="2"/>
      <c r="R15" s="2"/>
      <c r="S15" s="2"/>
      <c r="T15" s="2"/>
    </row>
    <row r="16" spans="1:20" ht="15" customHeight="1" x14ac:dyDescent="0.25">
      <c r="A16" s="1" t="s">
        <v>1</v>
      </c>
      <c r="B16" s="1">
        <v>15</v>
      </c>
      <c r="C16" s="1">
        <v>984231699</v>
      </c>
      <c r="D16" s="1">
        <v>814588400</v>
      </c>
      <c r="E16" s="1">
        <f t="shared" si="0"/>
        <v>169643299</v>
      </c>
      <c r="F16" s="1">
        <f t="shared" si="1"/>
        <v>169643299</v>
      </c>
      <c r="G16" s="1">
        <f t="shared" si="2"/>
        <v>88</v>
      </c>
      <c r="H16" s="1">
        <f t="shared" si="3"/>
        <v>88</v>
      </c>
      <c r="I16" s="1">
        <f t="shared" si="4"/>
        <v>0</v>
      </c>
      <c r="N16" s="2"/>
      <c r="O16" s="2"/>
      <c r="P16" s="2"/>
      <c r="Q16" s="2"/>
      <c r="R16" s="2"/>
      <c r="S16" s="2"/>
      <c r="T16" s="2"/>
    </row>
    <row r="17" spans="1:20" ht="15" customHeight="1" x14ac:dyDescent="0.25">
      <c r="A17" s="1" t="s">
        <v>1</v>
      </c>
      <c r="B17" s="1">
        <v>16</v>
      </c>
      <c r="C17" s="1">
        <v>968376501</v>
      </c>
      <c r="D17" s="1">
        <v>813922100</v>
      </c>
      <c r="E17" s="1">
        <f t="shared" si="0"/>
        <v>154454401</v>
      </c>
      <c r="F17" s="1">
        <f t="shared" si="1"/>
        <v>154454401</v>
      </c>
      <c r="G17" s="1">
        <f t="shared" si="2"/>
        <v>73</v>
      </c>
      <c r="H17" s="1">
        <f t="shared" si="3"/>
        <v>73</v>
      </c>
      <c r="I17" s="1">
        <f t="shared" si="4"/>
        <v>0</v>
      </c>
      <c r="N17" s="2"/>
      <c r="O17" s="2"/>
      <c r="P17" s="2"/>
      <c r="Q17" s="2"/>
      <c r="R17" s="2"/>
      <c r="S17" s="2"/>
      <c r="T17" s="2"/>
    </row>
    <row r="18" spans="1:20" x14ac:dyDescent="0.25">
      <c r="A18" s="1" t="s">
        <v>1</v>
      </c>
      <c r="B18" s="1">
        <v>17</v>
      </c>
      <c r="C18" s="1">
        <v>963762200</v>
      </c>
      <c r="D18" s="1">
        <v>815213600</v>
      </c>
      <c r="E18" s="1">
        <f t="shared" si="0"/>
        <v>148548600</v>
      </c>
      <c r="F18" s="1">
        <f t="shared" si="1"/>
        <v>148548600</v>
      </c>
      <c r="G18" s="1">
        <f t="shared" si="2"/>
        <v>61</v>
      </c>
      <c r="H18" s="1">
        <f t="shared" si="3"/>
        <v>61</v>
      </c>
      <c r="I18" s="1">
        <f t="shared" si="4"/>
        <v>0</v>
      </c>
    </row>
    <row r="19" spans="1:20" x14ac:dyDescent="0.25">
      <c r="A19" s="1" t="s">
        <v>1</v>
      </c>
      <c r="B19" s="1">
        <v>18</v>
      </c>
      <c r="C19" s="1">
        <v>958299800</v>
      </c>
      <c r="D19" s="1">
        <v>833981100</v>
      </c>
      <c r="E19" s="1">
        <f t="shared" si="0"/>
        <v>124318700</v>
      </c>
      <c r="F19" s="1">
        <f t="shared" si="1"/>
        <v>124318700</v>
      </c>
      <c r="G19" s="1">
        <f t="shared" si="2"/>
        <v>10</v>
      </c>
      <c r="H19" s="1">
        <f t="shared" si="3"/>
        <v>10</v>
      </c>
      <c r="I19" s="1">
        <f t="shared" si="4"/>
        <v>0</v>
      </c>
    </row>
    <row r="20" spans="1:20" x14ac:dyDescent="0.25">
      <c r="A20" s="1" t="s">
        <v>1</v>
      </c>
      <c r="B20" s="1">
        <v>19</v>
      </c>
      <c r="C20" s="1">
        <v>961580400</v>
      </c>
      <c r="D20" s="1">
        <v>826116900</v>
      </c>
      <c r="E20" s="1">
        <f t="shared" si="0"/>
        <v>135463500</v>
      </c>
      <c r="F20" s="1">
        <f t="shared" si="1"/>
        <v>135463500</v>
      </c>
      <c r="G20" s="1">
        <f t="shared" si="2"/>
        <v>39</v>
      </c>
      <c r="H20" s="1">
        <f t="shared" si="3"/>
        <v>39</v>
      </c>
      <c r="I20" s="1">
        <f t="shared" si="4"/>
        <v>0</v>
      </c>
    </row>
    <row r="21" spans="1:20" x14ac:dyDescent="0.25">
      <c r="A21" s="1" t="s">
        <v>1</v>
      </c>
      <c r="B21" s="1">
        <v>20</v>
      </c>
      <c r="C21" s="1">
        <v>958354000</v>
      </c>
      <c r="D21" s="1">
        <v>823265900</v>
      </c>
      <c r="E21" s="1">
        <f t="shared" si="0"/>
        <v>135088100</v>
      </c>
      <c r="F21" s="1">
        <f t="shared" si="1"/>
        <v>135088100</v>
      </c>
      <c r="G21" s="1">
        <f t="shared" si="2"/>
        <v>37</v>
      </c>
      <c r="H21" s="1">
        <f t="shared" si="3"/>
        <v>37</v>
      </c>
      <c r="I21" s="1">
        <f t="shared" si="4"/>
        <v>0</v>
      </c>
    </row>
    <row r="22" spans="1:20" x14ac:dyDescent="0.25">
      <c r="A22" s="1" t="s">
        <v>1</v>
      </c>
      <c r="B22" s="1">
        <v>21</v>
      </c>
      <c r="C22" s="1">
        <v>965911500</v>
      </c>
      <c r="D22" s="1">
        <v>814033400</v>
      </c>
      <c r="E22" s="1">
        <f t="shared" si="0"/>
        <v>151878100</v>
      </c>
      <c r="F22" s="1">
        <f t="shared" si="1"/>
        <v>151878100</v>
      </c>
      <c r="G22" s="1">
        <f t="shared" si="2"/>
        <v>70</v>
      </c>
      <c r="H22" s="1">
        <f t="shared" si="3"/>
        <v>70</v>
      </c>
      <c r="I22" s="1">
        <f t="shared" si="4"/>
        <v>0</v>
      </c>
    </row>
    <row r="23" spans="1:20" x14ac:dyDescent="0.25">
      <c r="A23" s="1" t="s">
        <v>1</v>
      </c>
      <c r="B23" s="1">
        <v>22</v>
      </c>
      <c r="C23" s="1">
        <v>974442601</v>
      </c>
      <c r="D23" s="1">
        <v>824595600</v>
      </c>
      <c r="E23" s="1">
        <f t="shared" si="0"/>
        <v>149847001</v>
      </c>
      <c r="F23" s="1">
        <f t="shared" si="1"/>
        <v>149847001</v>
      </c>
      <c r="G23" s="1">
        <f t="shared" si="2"/>
        <v>63</v>
      </c>
      <c r="H23" s="1">
        <f t="shared" si="3"/>
        <v>63</v>
      </c>
      <c r="I23" s="1">
        <f t="shared" si="4"/>
        <v>0</v>
      </c>
    </row>
    <row r="24" spans="1:20" x14ac:dyDescent="0.25">
      <c r="A24" s="1" t="s">
        <v>1</v>
      </c>
      <c r="B24" s="1">
        <v>23</v>
      </c>
      <c r="C24" s="1">
        <v>975187800</v>
      </c>
      <c r="D24" s="1">
        <v>825222600</v>
      </c>
      <c r="E24" s="1">
        <f t="shared" si="0"/>
        <v>149965200</v>
      </c>
      <c r="F24" s="1">
        <f t="shared" si="1"/>
        <v>149965200</v>
      </c>
      <c r="G24" s="1">
        <f t="shared" si="2"/>
        <v>64</v>
      </c>
      <c r="H24" s="1">
        <f t="shared" si="3"/>
        <v>64</v>
      </c>
      <c r="I24" s="1">
        <f t="shared" si="4"/>
        <v>0</v>
      </c>
    </row>
    <row r="25" spans="1:20" x14ac:dyDescent="0.25">
      <c r="A25" s="1" t="s">
        <v>1</v>
      </c>
      <c r="B25" s="1">
        <v>24</v>
      </c>
      <c r="C25" s="1">
        <v>1007072200</v>
      </c>
      <c r="D25" s="1">
        <v>814051900</v>
      </c>
      <c r="E25" s="1">
        <f t="shared" si="0"/>
        <v>193020300</v>
      </c>
      <c r="F25" s="1">
        <f t="shared" si="1"/>
        <v>193020300</v>
      </c>
      <c r="G25" s="1">
        <f t="shared" si="2"/>
        <v>95</v>
      </c>
      <c r="H25" s="1">
        <f t="shared" si="3"/>
        <v>95</v>
      </c>
      <c r="I25" s="1">
        <f t="shared" si="4"/>
        <v>0</v>
      </c>
    </row>
    <row r="26" spans="1:20" x14ac:dyDescent="0.25">
      <c r="A26" s="1" t="s">
        <v>1</v>
      </c>
      <c r="B26" s="1">
        <v>25</v>
      </c>
      <c r="C26" s="1">
        <v>977405599</v>
      </c>
      <c r="D26" s="1">
        <v>819152200</v>
      </c>
      <c r="E26" s="1">
        <f t="shared" si="0"/>
        <v>158253399</v>
      </c>
      <c r="F26" s="1">
        <f t="shared" si="1"/>
        <v>158253399</v>
      </c>
      <c r="G26" s="1">
        <f t="shared" si="2"/>
        <v>77</v>
      </c>
      <c r="H26" s="1">
        <f t="shared" si="3"/>
        <v>77</v>
      </c>
      <c r="I26" s="1">
        <f t="shared" si="4"/>
        <v>0</v>
      </c>
    </row>
    <row r="27" spans="1:20" x14ac:dyDescent="0.25">
      <c r="A27" s="1" t="s">
        <v>1</v>
      </c>
      <c r="B27" s="1">
        <v>26</v>
      </c>
      <c r="C27" s="1">
        <v>962906301</v>
      </c>
      <c r="D27" s="1">
        <v>825192800</v>
      </c>
      <c r="E27" s="1">
        <f t="shared" si="0"/>
        <v>137713501</v>
      </c>
      <c r="F27" s="1">
        <f t="shared" si="1"/>
        <v>137713501</v>
      </c>
      <c r="G27" s="1">
        <f t="shared" si="2"/>
        <v>46</v>
      </c>
      <c r="H27" s="1">
        <f t="shared" si="3"/>
        <v>46</v>
      </c>
      <c r="I27" s="1">
        <f t="shared" si="4"/>
        <v>0</v>
      </c>
    </row>
    <row r="28" spans="1:20" x14ac:dyDescent="0.25">
      <c r="A28" s="1" t="s">
        <v>1</v>
      </c>
      <c r="B28" s="1">
        <v>27</v>
      </c>
      <c r="C28" s="1">
        <v>1004934500</v>
      </c>
      <c r="D28" s="1">
        <v>829871800</v>
      </c>
      <c r="E28" s="1">
        <f t="shared" si="0"/>
        <v>175062700</v>
      </c>
      <c r="F28" s="1">
        <f t="shared" si="1"/>
        <v>175062700</v>
      </c>
      <c r="G28" s="1">
        <f t="shared" si="2"/>
        <v>91</v>
      </c>
      <c r="H28" s="1">
        <f t="shared" si="3"/>
        <v>91</v>
      </c>
      <c r="I28" s="1">
        <f t="shared" si="4"/>
        <v>0</v>
      </c>
    </row>
    <row r="29" spans="1:20" x14ac:dyDescent="0.25">
      <c r="A29" s="1" t="s">
        <v>1</v>
      </c>
      <c r="B29" s="1">
        <v>28</v>
      </c>
      <c r="C29" s="1">
        <v>975868700</v>
      </c>
      <c r="D29" s="1">
        <v>817006000</v>
      </c>
      <c r="E29" s="1">
        <f t="shared" si="0"/>
        <v>158862700</v>
      </c>
      <c r="F29" s="1">
        <f t="shared" si="1"/>
        <v>158862700</v>
      </c>
      <c r="G29" s="1">
        <f t="shared" si="2"/>
        <v>79</v>
      </c>
      <c r="H29" s="1">
        <f t="shared" si="3"/>
        <v>79</v>
      </c>
      <c r="I29" s="1">
        <f t="shared" si="4"/>
        <v>0</v>
      </c>
    </row>
    <row r="30" spans="1:20" x14ac:dyDescent="0.25">
      <c r="A30" s="1" t="s">
        <v>1</v>
      </c>
      <c r="B30" s="1">
        <v>29</v>
      </c>
      <c r="C30" s="1">
        <v>966138201</v>
      </c>
      <c r="D30" s="1">
        <v>825875100</v>
      </c>
      <c r="E30" s="1">
        <f t="shared" si="0"/>
        <v>140263101</v>
      </c>
      <c r="F30" s="1">
        <f t="shared" si="1"/>
        <v>140263101</v>
      </c>
      <c r="G30" s="1">
        <f t="shared" si="2"/>
        <v>50</v>
      </c>
      <c r="H30" s="1">
        <f t="shared" si="3"/>
        <v>50</v>
      </c>
      <c r="I30" s="1">
        <f t="shared" si="4"/>
        <v>0</v>
      </c>
    </row>
    <row r="31" spans="1:20" x14ac:dyDescent="0.25">
      <c r="A31" s="1" t="s">
        <v>1</v>
      </c>
      <c r="B31" s="1">
        <v>30</v>
      </c>
      <c r="C31" s="1">
        <v>953067100</v>
      </c>
      <c r="D31" s="1">
        <v>817433400</v>
      </c>
      <c r="E31" s="1">
        <f t="shared" si="0"/>
        <v>135633700</v>
      </c>
      <c r="F31" s="1">
        <f t="shared" si="1"/>
        <v>135633700</v>
      </c>
      <c r="G31" s="1">
        <f t="shared" si="2"/>
        <v>40</v>
      </c>
      <c r="H31" s="1">
        <f t="shared" si="3"/>
        <v>40</v>
      </c>
      <c r="I31" s="1">
        <f t="shared" si="4"/>
        <v>0</v>
      </c>
    </row>
    <row r="32" spans="1:20" x14ac:dyDescent="0.25">
      <c r="A32" s="1" t="s">
        <v>1</v>
      </c>
      <c r="B32" s="1">
        <v>31</v>
      </c>
      <c r="C32" s="1">
        <v>975675200</v>
      </c>
      <c r="D32" s="1">
        <v>826788600</v>
      </c>
      <c r="E32" s="1">
        <f t="shared" si="0"/>
        <v>148886600</v>
      </c>
      <c r="F32" s="1">
        <f t="shared" si="1"/>
        <v>148886600</v>
      </c>
      <c r="G32" s="1">
        <f t="shared" si="2"/>
        <v>62</v>
      </c>
      <c r="H32" s="1">
        <f t="shared" si="3"/>
        <v>62</v>
      </c>
      <c r="I32" s="1">
        <f t="shared" si="4"/>
        <v>0</v>
      </c>
    </row>
    <row r="33" spans="1:9" x14ac:dyDescent="0.25">
      <c r="A33" s="1" t="s">
        <v>1</v>
      </c>
      <c r="B33" s="1">
        <v>32</v>
      </c>
      <c r="C33" s="1">
        <v>956230000</v>
      </c>
      <c r="D33" s="1">
        <v>821336600</v>
      </c>
      <c r="E33" s="1">
        <f t="shared" si="0"/>
        <v>134893400</v>
      </c>
      <c r="F33" s="1">
        <f t="shared" si="1"/>
        <v>134893400</v>
      </c>
      <c r="G33" s="1">
        <f t="shared" si="2"/>
        <v>36</v>
      </c>
      <c r="H33" s="1">
        <f t="shared" si="3"/>
        <v>36</v>
      </c>
      <c r="I33" s="1">
        <f t="shared" si="4"/>
        <v>0</v>
      </c>
    </row>
    <row r="34" spans="1:9" x14ac:dyDescent="0.25">
      <c r="A34" s="1" t="s">
        <v>1</v>
      </c>
      <c r="B34" s="1">
        <v>33</v>
      </c>
      <c r="C34" s="1">
        <v>955992799</v>
      </c>
      <c r="D34" s="1">
        <v>818330800</v>
      </c>
      <c r="E34" s="1">
        <f t="shared" si="0"/>
        <v>137661999</v>
      </c>
      <c r="F34" s="1">
        <f t="shared" si="1"/>
        <v>137661999</v>
      </c>
      <c r="G34" s="1">
        <f t="shared" si="2"/>
        <v>45</v>
      </c>
      <c r="H34" s="1">
        <f t="shared" si="3"/>
        <v>45</v>
      </c>
      <c r="I34" s="1">
        <f t="shared" si="4"/>
        <v>0</v>
      </c>
    </row>
    <row r="35" spans="1:9" x14ac:dyDescent="0.25">
      <c r="A35" s="1" t="s">
        <v>1</v>
      </c>
      <c r="B35" s="1">
        <v>34</v>
      </c>
      <c r="C35" s="1">
        <v>957742000</v>
      </c>
      <c r="D35" s="1">
        <v>823743900</v>
      </c>
      <c r="E35" s="1">
        <f t="shared" si="0"/>
        <v>133998100</v>
      </c>
      <c r="F35" s="1">
        <f t="shared" si="1"/>
        <v>133998100</v>
      </c>
      <c r="G35" s="1">
        <f t="shared" si="2"/>
        <v>33</v>
      </c>
      <c r="H35" s="1">
        <f t="shared" si="3"/>
        <v>33</v>
      </c>
      <c r="I35" s="1">
        <f t="shared" si="4"/>
        <v>0</v>
      </c>
    </row>
    <row r="36" spans="1:9" x14ac:dyDescent="0.25">
      <c r="A36" s="1" t="s">
        <v>1</v>
      </c>
      <c r="B36" s="1">
        <v>35</v>
      </c>
      <c r="C36" s="1">
        <v>995607999</v>
      </c>
      <c r="D36" s="1">
        <v>839472900</v>
      </c>
      <c r="E36" s="1">
        <f t="shared" si="0"/>
        <v>156135099</v>
      </c>
      <c r="F36" s="1">
        <f t="shared" si="1"/>
        <v>156135099</v>
      </c>
      <c r="G36" s="1">
        <f t="shared" si="2"/>
        <v>75</v>
      </c>
      <c r="H36" s="1">
        <f t="shared" si="3"/>
        <v>75</v>
      </c>
      <c r="I36" s="1">
        <f t="shared" si="4"/>
        <v>0</v>
      </c>
    </row>
    <row r="37" spans="1:9" x14ac:dyDescent="0.25">
      <c r="A37" s="1" t="s">
        <v>1</v>
      </c>
      <c r="B37" s="1">
        <v>36</v>
      </c>
      <c r="C37" s="1">
        <v>1132294000</v>
      </c>
      <c r="D37" s="1">
        <v>825208800</v>
      </c>
      <c r="E37" s="1">
        <f t="shared" si="0"/>
        <v>307085200</v>
      </c>
      <c r="F37" s="1">
        <f t="shared" si="1"/>
        <v>307085200</v>
      </c>
      <c r="G37" s="1">
        <f t="shared" si="2"/>
        <v>99</v>
      </c>
      <c r="H37" s="1">
        <f t="shared" si="3"/>
        <v>99</v>
      </c>
      <c r="I37" s="1">
        <f t="shared" si="4"/>
        <v>0</v>
      </c>
    </row>
    <row r="38" spans="1:9" x14ac:dyDescent="0.25">
      <c r="A38" s="1" t="s">
        <v>1</v>
      </c>
      <c r="B38" s="1">
        <v>37</v>
      </c>
      <c r="C38" s="1">
        <v>1226178401</v>
      </c>
      <c r="D38" s="1">
        <v>814102200</v>
      </c>
      <c r="E38" s="1">
        <f t="shared" si="0"/>
        <v>412076201</v>
      </c>
      <c r="F38" s="1">
        <f t="shared" si="1"/>
        <v>412076201</v>
      </c>
      <c r="G38" s="1">
        <f t="shared" si="2"/>
        <v>100</v>
      </c>
      <c r="H38" s="1">
        <f t="shared" si="3"/>
        <v>100</v>
      </c>
      <c r="I38" s="1">
        <f t="shared" si="4"/>
        <v>0</v>
      </c>
    </row>
    <row r="39" spans="1:9" x14ac:dyDescent="0.25">
      <c r="A39" s="1" t="s">
        <v>1</v>
      </c>
      <c r="B39" s="1">
        <v>38</v>
      </c>
      <c r="C39" s="1">
        <v>1039717200</v>
      </c>
      <c r="D39" s="1">
        <v>814844100</v>
      </c>
      <c r="E39" s="1">
        <f t="shared" si="0"/>
        <v>224873100</v>
      </c>
      <c r="F39" s="1">
        <f t="shared" si="1"/>
        <v>224873100</v>
      </c>
      <c r="G39" s="1">
        <f t="shared" si="2"/>
        <v>98</v>
      </c>
      <c r="H39" s="1">
        <f t="shared" si="3"/>
        <v>98</v>
      </c>
      <c r="I39" s="1">
        <f t="shared" si="4"/>
        <v>0</v>
      </c>
    </row>
    <row r="40" spans="1:9" x14ac:dyDescent="0.25">
      <c r="A40" s="1" t="s">
        <v>1</v>
      </c>
      <c r="B40" s="1">
        <v>39</v>
      </c>
      <c r="C40" s="1">
        <v>999184400</v>
      </c>
      <c r="D40" s="1">
        <v>825471900</v>
      </c>
      <c r="E40" s="1">
        <f t="shared" si="0"/>
        <v>173712500</v>
      </c>
      <c r="F40" s="1">
        <f t="shared" si="1"/>
        <v>173712500</v>
      </c>
      <c r="G40" s="1">
        <f t="shared" si="2"/>
        <v>90</v>
      </c>
      <c r="H40" s="1">
        <f t="shared" si="3"/>
        <v>90</v>
      </c>
      <c r="I40" s="1">
        <f t="shared" si="4"/>
        <v>0</v>
      </c>
    </row>
    <row r="41" spans="1:9" x14ac:dyDescent="0.25">
      <c r="A41" s="1" t="s">
        <v>1</v>
      </c>
      <c r="B41" s="1">
        <v>40</v>
      </c>
      <c r="C41" s="1">
        <v>978505500</v>
      </c>
      <c r="D41" s="1">
        <v>825234800</v>
      </c>
      <c r="E41" s="1">
        <f t="shared" si="0"/>
        <v>153270700</v>
      </c>
      <c r="F41" s="1">
        <f t="shared" si="1"/>
        <v>153270700</v>
      </c>
      <c r="G41" s="1">
        <f t="shared" si="2"/>
        <v>72</v>
      </c>
      <c r="H41" s="1">
        <f t="shared" si="3"/>
        <v>72</v>
      </c>
      <c r="I41" s="1">
        <f t="shared" si="4"/>
        <v>0</v>
      </c>
    </row>
    <row r="42" spans="1:9" x14ac:dyDescent="0.25">
      <c r="A42" s="1" t="s">
        <v>1</v>
      </c>
      <c r="B42" s="1">
        <v>41</v>
      </c>
      <c r="C42" s="1">
        <v>964588600</v>
      </c>
      <c r="D42" s="1">
        <v>814250300</v>
      </c>
      <c r="E42" s="1">
        <f t="shared" si="0"/>
        <v>150338300</v>
      </c>
      <c r="F42" s="1">
        <f t="shared" si="1"/>
        <v>150338300</v>
      </c>
      <c r="G42" s="1">
        <f t="shared" si="2"/>
        <v>66</v>
      </c>
      <c r="H42" s="1">
        <f t="shared" si="3"/>
        <v>66</v>
      </c>
      <c r="I42" s="1">
        <f t="shared" si="4"/>
        <v>0</v>
      </c>
    </row>
    <row r="43" spans="1:9" x14ac:dyDescent="0.25">
      <c r="A43" s="1" t="s">
        <v>1</v>
      </c>
      <c r="B43" s="1">
        <v>42</v>
      </c>
      <c r="C43" s="1">
        <v>981194500</v>
      </c>
      <c r="D43" s="1">
        <v>824805400</v>
      </c>
      <c r="E43" s="1">
        <f t="shared" si="0"/>
        <v>156389100</v>
      </c>
      <c r="F43" s="1">
        <f t="shared" si="1"/>
        <v>156389100</v>
      </c>
      <c r="G43" s="1">
        <f t="shared" si="2"/>
        <v>76</v>
      </c>
      <c r="H43" s="1">
        <f t="shared" si="3"/>
        <v>76</v>
      </c>
      <c r="I43" s="1">
        <f t="shared" si="4"/>
        <v>0</v>
      </c>
    </row>
    <row r="44" spans="1:9" x14ac:dyDescent="0.25">
      <c r="A44" s="1" t="s">
        <v>1</v>
      </c>
      <c r="B44" s="1">
        <v>43</v>
      </c>
      <c r="C44" s="1">
        <v>962588900</v>
      </c>
      <c r="D44" s="1">
        <v>818472000</v>
      </c>
      <c r="E44" s="1">
        <f t="shared" si="0"/>
        <v>144116900</v>
      </c>
      <c r="F44" s="1">
        <f t="shared" si="1"/>
        <v>144116900</v>
      </c>
      <c r="G44" s="1">
        <f t="shared" si="2"/>
        <v>55</v>
      </c>
      <c r="H44" s="1">
        <f t="shared" si="3"/>
        <v>55</v>
      </c>
      <c r="I44" s="1">
        <f t="shared" si="4"/>
        <v>0</v>
      </c>
    </row>
    <row r="45" spans="1:9" x14ac:dyDescent="0.25">
      <c r="A45" s="1" t="s">
        <v>1</v>
      </c>
      <c r="B45" s="1">
        <v>44</v>
      </c>
      <c r="C45" s="1">
        <v>969077500</v>
      </c>
      <c r="D45" s="1">
        <v>816955600</v>
      </c>
      <c r="E45" s="1">
        <f t="shared" si="0"/>
        <v>152121900</v>
      </c>
      <c r="F45" s="1">
        <f t="shared" si="1"/>
        <v>152121900</v>
      </c>
      <c r="G45" s="1">
        <f t="shared" si="2"/>
        <v>71</v>
      </c>
      <c r="H45" s="1">
        <f t="shared" si="3"/>
        <v>71</v>
      </c>
      <c r="I45" s="1">
        <f t="shared" si="4"/>
        <v>0</v>
      </c>
    </row>
    <row r="46" spans="1:9" x14ac:dyDescent="0.25">
      <c r="A46" s="1" t="s">
        <v>1</v>
      </c>
      <c r="B46" s="1">
        <v>45</v>
      </c>
      <c r="C46" s="1">
        <v>973314900</v>
      </c>
      <c r="D46" s="1">
        <v>836048400</v>
      </c>
      <c r="E46" s="1">
        <f t="shared" si="0"/>
        <v>137266500</v>
      </c>
      <c r="F46" s="1">
        <f t="shared" si="1"/>
        <v>137266500</v>
      </c>
      <c r="G46" s="1">
        <f t="shared" si="2"/>
        <v>43</v>
      </c>
      <c r="H46" s="1">
        <f t="shared" si="3"/>
        <v>43</v>
      </c>
      <c r="I46" s="1">
        <f t="shared" si="4"/>
        <v>0</v>
      </c>
    </row>
    <row r="47" spans="1:9" x14ac:dyDescent="0.25">
      <c r="A47" s="1" t="s">
        <v>1</v>
      </c>
      <c r="B47" s="1">
        <v>46</v>
      </c>
      <c r="C47" s="1">
        <v>947221699</v>
      </c>
      <c r="D47" s="1">
        <v>836608300</v>
      </c>
      <c r="E47" s="1">
        <f t="shared" si="0"/>
        <v>110613399</v>
      </c>
      <c r="F47" s="1">
        <f t="shared" si="1"/>
        <v>110613399</v>
      </c>
      <c r="G47" s="1">
        <f t="shared" si="2"/>
        <v>1</v>
      </c>
      <c r="H47" s="1">
        <f t="shared" si="3"/>
        <v>1</v>
      </c>
      <c r="I47" s="1">
        <f t="shared" si="4"/>
        <v>0</v>
      </c>
    </row>
    <row r="48" spans="1:9" x14ac:dyDescent="0.25">
      <c r="A48" s="1" t="s">
        <v>1</v>
      </c>
      <c r="B48" s="1">
        <v>47</v>
      </c>
      <c r="C48" s="1">
        <v>985664500</v>
      </c>
      <c r="D48" s="1">
        <v>835442300</v>
      </c>
      <c r="E48" s="1">
        <f t="shared" si="0"/>
        <v>150222200</v>
      </c>
      <c r="F48" s="1">
        <f t="shared" si="1"/>
        <v>150222200</v>
      </c>
      <c r="G48" s="1">
        <f t="shared" si="2"/>
        <v>65</v>
      </c>
      <c r="H48" s="1">
        <f t="shared" si="3"/>
        <v>65</v>
      </c>
      <c r="I48" s="1">
        <f t="shared" si="4"/>
        <v>0</v>
      </c>
    </row>
    <row r="49" spans="1:9" x14ac:dyDescent="0.25">
      <c r="A49" s="1" t="s">
        <v>1</v>
      </c>
      <c r="B49" s="1">
        <v>48</v>
      </c>
      <c r="C49" s="1">
        <v>1013024300</v>
      </c>
      <c r="D49" s="1">
        <v>816544200</v>
      </c>
      <c r="E49" s="1">
        <f t="shared" si="0"/>
        <v>196480100</v>
      </c>
      <c r="F49" s="1">
        <f t="shared" si="1"/>
        <v>196480100</v>
      </c>
      <c r="G49" s="1">
        <f t="shared" si="2"/>
        <v>96</v>
      </c>
      <c r="H49" s="1">
        <f t="shared" si="3"/>
        <v>96</v>
      </c>
      <c r="I49" s="1">
        <f t="shared" si="4"/>
        <v>0</v>
      </c>
    </row>
    <row r="50" spans="1:9" x14ac:dyDescent="0.25">
      <c r="A50" s="1" t="s">
        <v>1</v>
      </c>
      <c r="B50" s="1">
        <v>49</v>
      </c>
      <c r="C50" s="1">
        <v>971383299</v>
      </c>
      <c r="D50" s="1">
        <v>832657900</v>
      </c>
      <c r="E50" s="1">
        <f t="shared" si="0"/>
        <v>138725399</v>
      </c>
      <c r="F50" s="1">
        <f t="shared" si="1"/>
        <v>138725399</v>
      </c>
      <c r="G50" s="1">
        <f t="shared" si="2"/>
        <v>48</v>
      </c>
      <c r="H50" s="1">
        <f t="shared" si="3"/>
        <v>48</v>
      </c>
      <c r="I50" s="1">
        <f t="shared" si="4"/>
        <v>0</v>
      </c>
    </row>
    <row r="51" spans="1:9" x14ac:dyDescent="0.25">
      <c r="A51" s="1" t="s">
        <v>1</v>
      </c>
      <c r="B51" s="1">
        <v>50</v>
      </c>
      <c r="C51" s="1">
        <v>997286599</v>
      </c>
      <c r="D51" s="1">
        <v>817025300</v>
      </c>
      <c r="E51" s="1">
        <f t="shared" si="0"/>
        <v>180261299</v>
      </c>
      <c r="F51" s="1">
        <f t="shared" si="1"/>
        <v>180261299</v>
      </c>
      <c r="G51" s="1">
        <f t="shared" si="2"/>
        <v>94</v>
      </c>
      <c r="H51" s="1">
        <f t="shared" si="3"/>
        <v>94</v>
      </c>
      <c r="I51" s="1">
        <f t="shared" si="4"/>
        <v>0</v>
      </c>
    </row>
    <row r="52" spans="1:9" x14ac:dyDescent="0.25">
      <c r="A52" s="1" t="s">
        <v>1</v>
      </c>
      <c r="B52" s="1">
        <v>51</v>
      </c>
      <c r="C52" s="1">
        <v>976821400</v>
      </c>
      <c r="D52" s="1">
        <v>816686900</v>
      </c>
      <c r="E52" s="1">
        <f t="shared" si="0"/>
        <v>160134500</v>
      </c>
      <c r="F52" s="1">
        <f t="shared" si="1"/>
        <v>160134500</v>
      </c>
      <c r="G52" s="1">
        <f t="shared" si="2"/>
        <v>81</v>
      </c>
      <c r="H52" s="1">
        <f t="shared" si="3"/>
        <v>81</v>
      </c>
      <c r="I52" s="1">
        <f t="shared" si="4"/>
        <v>0</v>
      </c>
    </row>
    <row r="53" spans="1:9" x14ac:dyDescent="0.25">
      <c r="A53" s="1" t="s">
        <v>1</v>
      </c>
      <c r="B53" s="1">
        <v>52</v>
      </c>
      <c r="C53" s="1">
        <v>956404101</v>
      </c>
      <c r="D53" s="1">
        <v>825096400</v>
      </c>
      <c r="E53" s="1">
        <f t="shared" si="0"/>
        <v>131307701</v>
      </c>
      <c r="F53" s="1">
        <f t="shared" si="1"/>
        <v>131307701</v>
      </c>
      <c r="G53" s="1">
        <f t="shared" si="2"/>
        <v>27</v>
      </c>
      <c r="H53" s="1">
        <f t="shared" si="3"/>
        <v>27</v>
      </c>
      <c r="I53" s="1">
        <f t="shared" si="4"/>
        <v>0</v>
      </c>
    </row>
    <row r="54" spans="1:9" x14ac:dyDescent="0.25">
      <c r="A54" s="1" t="s">
        <v>1</v>
      </c>
      <c r="B54" s="1">
        <v>53</v>
      </c>
      <c r="C54" s="1">
        <v>961650400</v>
      </c>
      <c r="D54" s="1">
        <v>818431300</v>
      </c>
      <c r="E54" s="1">
        <f t="shared" si="0"/>
        <v>143219100</v>
      </c>
      <c r="F54" s="1">
        <f t="shared" si="1"/>
        <v>143219100</v>
      </c>
      <c r="G54" s="1">
        <f t="shared" si="2"/>
        <v>53</v>
      </c>
      <c r="H54" s="1">
        <f t="shared" si="3"/>
        <v>53</v>
      </c>
      <c r="I54" s="1">
        <f t="shared" si="4"/>
        <v>0</v>
      </c>
    </row>
    <row r="55" spans="1:9" x14ac:dyDescent="0.25">
      <c r="A55" s="1" t="s">
        <v>1</v>
      </c>
      <c r="B55" s="1">
        <v>54</v>
      </c>
      <c r="C55" s="1">
        <v>975273800</v>
      </c>
      <c r="D55" s="1">
        <v>831044800</v>
      </c>
      <c r="E55" s="1">
        <f t="shared" si="0"/>
        <v>144229000</v>
      </c>
      <c r="F55" s="1">
        <f t="shared" si="1"/>
        <v>144229000</v>
      </c>
      <c r="G55" s="1">
        <f t="shared" si="2"/>
        <v>56</v>
      </c>
      <c r="H55" s="1">
        <f t="shared" si="3"/>
        <v>56</v>
      </c>
      <c r="I55" s="1">
        <f t="shared" si="4"/>
        <v>0</v>
      </c>
    </row>
    <row r="56" spans="1:9" x14ac:dyDescent="0.25">
      <c r="A56" s="1" t="s">
        <v>1</v>
      </c>
      <c r="B56" s="1">
        <v>55</v>
      </c>
      <c r="C56" s="1">
        <v>989607000</v>
      </c>
      <c r="D56" s="1">
        <v>813997700</v>
      </c>
      <c r="E56" s="1">
        <f t="shared" si="0"/>
        <v>175609300</v>
      </c>
      <c r="F56" s="1">
        <f t="shared" si="1"/>
        <v>175609300</v>
      </c>
      <c r="G56" s="1">
        <f t="shared" si="2"/>
        <v>92</v>
      </c>
      <c r="H56" s="1">
        <f t="shared" si="3"/>
        <v>92</v>
      </c>
      <c r="I56" s="1">
        <f t="shared" si="4"/>
        <v>0</v>
      </c>
    </row>
    <row r="57" spans="1:9" x14ac:dyDescent="0.25">
      <c r="A57" s="1" t="s">
        <v>1</v>
      </c>
      <c r="B57" s="1">
        <v>56</v>
      </c>
      <c r="C57" s="1">
        <v>947727500</v>
      </c>
      <c r="D57" s="1">
        <v>816233100</v>
      </c>
      <c r="E57" s="1">
        <f t="shared" si="0"/>
        <v>131494400</v>
      </c>
      <c r="F57" s="1">
        <f t="shared" si="1"/>
        <v>131494400</v>
      </c>
      <c r="G57" s="1">
        <f t="shared" si="2"/>
        <v>28</v>
      </c>
      <c r="H57" s="1">
        <f t="shared" si="3"/>
        <v>28</v>
      </c>
      <c r="I57" s="1">
        <f t="shared" si="4"/>
        <v>0</v>
      </c>
    </row>
    <row r="58" spans="1:9" x14ac:dyDescent="0.25">
      <c r="A58" s="1" t="s">
        <v>1</v>
      </c>
      <c r="B58" s="1">
        <v>57</v>
      </c>
      <c r="C58" s="1">
        <v>947899400</v>
      </c>
      <c r="D58" s="1">
        <v>825379900</v>
      </c>
      <c r="E58" s="1">
        <f t="shared" si="0"/>
        <v>122519500</v>
      </c>
      <c r="F58" s="1">
        <f t="shared" si="1"/>
        <v>122519500</v>
      </c>
      <c r="G58" s="1">
        <f t="shared" si="2"/>
        <v>8</v>
      </c>
      <c r="H58" s="1">
        <f t="shared" si="3"/>
        <v>8</v>
      </c>
      <c r="I58" s="1">
        <f t="shared" si="4"/>
        <v>0</v>
      </c>
    </row>
    <row r="59" spans="1:9" x14ac:dyDescent="0.25">
      <c r="A59" s="1" t="s">
        <v>1</v>
      </c>
      <c r="B59" s="1">
        <v>58</v>
      </c>
      <c r="C59" s="1">
        <v>947930800</v>
      </c>
      <c r="D59" s="1">
        <v>816746500</v>
      </c>
      <c r="E59" s="1">
        <f t="shared" si="0"/>
        <v>131184300</v>
      </c>
      <c r="F59" s="1">
        <f t="shared" si="1"/>
        <v>131184300</v>
      </c>
      <c r="G59" s="1">
        <f t="shared" si="2"/>
        <v>25</v>
      </c>
      <c r="H59" s="1">
        <f t="shared" si="3"/>
        <v>25</v>
      </c>
      <c r="I59" s="1">
        <f t="shared" si="4"/>
        <v>0</v>
      </c>
    </row>
    <row r="60" spans="1:9" x14ac:dyDescent="0.25">
      <c r="A60" s="1" t="s">
        <v>1</v>
      </c>
      <c r="B60" s="1">
        <v>59</v>
      </c>
      <c r="C60" s="1">
        <v>959629100</v>
      </c>
      <c r="D60" s="1">
        <v>814099100</v>
      </c>
      <c r="E60" s="1">
        <f t="shared" si="0"/>
        <v>145530000</v>
      </c>
      <c r="F60" s="1">
        <f t="shared" si="1"/>
        <v>145530000</v>
      </c>
      <c r="G60" s="1">
        <f t="shared" si="2"/>
        <v>59</v>
      </c>
      <c r="H60" s="1">
        <f t="shared" si="3"/>
        <v>59</v>
      </c>
      <c r="I60" s="1">
        <f t="shared" si="4"/>
        <v>0</v>
      </c>
    </row>
    <row r="61" spans="1:9" x14ac:dyDescent="0.25">
      <c r="A61" s="1" t="s">
        <v>1</v>
      </c>
      <c r="B61" s="1">
        <v>60</v>
      </c>
      <c r="C61" s="1">
        <v>962444500</v>
      </c>
      <c r="D61" s="1">
        <v>836743800</v>
      </c>
      <c r="E61" s="1">
        <f t="shared" si="0"/>
        <v>125700700</v>
      </c>
      <c r="F61" s="1">
        <f t="shared" si="1"/>
        <v>125700700</v>
      </c>
      <c r="G61" s="1">
        <f t="shared" si="2"/>
        <v>11</v>
      </c>
      <c r="H61" s="1">
        <f t="shared" si="3"/>
        <v>11</v>
      </c>
      <c r="I61" s="1">
        <f t="shared" si="4"/>
        <v>0</v>
      </c>
    </row>
    <row r="62" spans="1:9" x14ac:dyDescent="0.25">
      <c r="A62" s="1" t="s">
        <v>1</v>
      </c>
      <c r="B62" s="1">
        <v>61</v>
      </c>
      <c r="C62" s="1">
        <v>976728100</v>
      </c>
      <c r="D62" s="1">
        <v>825544000</v>
      </c>
      <c r="E62" s="1">
        <f t="shared" si="0"/>
        <v>151184100</v>
      </c>
      <c r="F62" s="1">
        <f t="shared" si="1"/>
        <v>151184100</v>
      </c>
      <c r="G62" s="1">
        <f t="shared" si="2"/>
        <v>68</v>
      </c>
      <c r="H62" s="1">
        <f t="shared" si="3"/>
        <v>68</v>
      </c>
      <c r="I62" s="1">
        <f t="shared" si="4"/>
        <v>0</v>
      </c>
    </row>
    <row r="63" spans="1:9" x14ac:dyDescent="0.25">
      <c r="A63" s="1" t="s">
        <v>1</v>
      </c>
      <c r="B63" s="1">
        <v>62</v>
      </c>
      <c r="C63" s="1">
        <v>957630801</v>
      </c>
      <c r="D63" s="1">
        <v>813903600</v>
      </c>
      <c r="E63" s="1">
        <f t="shared" si="0"/>
        <v>143727201</v>
      </c>
      <c r="F63" s="1">
        <f t="shared" si="1"/>
        <v>143727201</v>
      </c>
      <c r="G63" s="1">
        <f t="shared" si="2"/>
        <v>54</v>
      </c>
      <c r="H63" s="1">
        <f t="shared" si="3"/>
        <v>54</v>
      </c>
      <c r="I63" s="1">
        <f t="shared" si="4"/>
        <v>0</v>
      </c>
    </row>
    <row r="64" spans="1:9" x14ac:dyDescent="0.25">
      <c r="A64" s="1" t="s">
        <v>1</v>
      </c>
      <c r="B64" s="1">
        <v>63</v>
      </c>
      <c r="C64" s="1">
        <v>971413500</v>
      </c>
      <c r="D64" s="1">
        <v>826303900</v>
      </c>
      <c r="E64" s="1">
        <f t="shared" si="0"/>
        <v>145109600</v>
      </c>
      <c r="F64" s="1">
        <f t="shared" si="1"/>
        <v>145109600</v>
      </c>
      <c r="G64" s="1">
        <f t="shared" si="2"/>
        <v>58</v>
      </c>
      <c r="H64" s="1">
        <f t="shared" si="3"/>
        <v>58</v>
      </c>
      <c r="I64" s="1">
        <f t="shared" si="4"/>
        <v>0</v>
      </c>
    </row>
    <row r="65" spans="1:9" x14ac:dyDescent="0.25">
      <c r="A65" s="1" t="s">
        <v>1</v>
      </c>
      <c r="B65" s="1">
        <v>64</v>
      </c>
      <c r="C65" s="1">
        <v>960113300</v>
      </c>
      <c r="D65" s="1">
        <v>826534400</v>
      </c>
      <c r="E65" s="1">
        <f t="shared" si="0"/>
        <v>133578900</v>
      </c>
      <c r="F65" s="1">
        <f t="shared" si="1"/>
        <v>133578900</v>
      </c>
      <c r="G65" s="1">
        <f t="shared" si="2"/>
        <v>30</v>
      </c>
      <c r="H65" s="1">
        <f t="shared" si="3"/>
        <v>30</v>
      </c>
      <c r="I65" s="1">
        <f t="shared" si="4"/>
        <v>0</v>
      </c>
    </row>
    <row r="66" spans="1:9" x14ac:dyDescent="0.25">
      <c r="A66" s="1" t="s">
        <v>1</v>
      </c>
      <c r="B66" s="1">
        <v>65</v>
      </c>
      <c r="C66" s="1">
        <v>978859600</v>
      </c>
      <c r="D66" s="1">
        <v>816839100</v>
      </c>
      <c r="E66" s="1">
        <f t="shared" si="0"/>
        <v>162020500</v>
      </c>
      <c r="F66" s="1">
        <f t="shared" si="1"/>
        <v>162020500</v>
      </c>
      <c r="G66" s="1">
        <f t="shared" si="2"/>
        <v>83</v>
      </c>
      <c r="H66" s="1">
        <f t="shared" si="3"/>
        <v>83</v>
      </c>
      <c r="I66" s="1">
        <f t="shared" si="4"/>
        <v>0</v>
      </c>
    </row>
    <row r="67" spans="1:9" x14ac:dyDescent="0.25">
      <c r="A67" s="1" t="s">
        <v>1</v>
      </c>
      <c r="B67" s="1">
        <v>66</v>
      </c>
      <c r="C67" s="1">
        <v>948044300</v>
      </c>
      <c r="D67" s="1">
        <v>814052300</v>
      </c>
      <c r="E67" s="1">
        <f t="shared" ref="E67:E101" si="5">C67-D67</f>
        <v>133992000</v>
      </c>
      <c r="F67" s="1">
        <f t="shared" ref="F67:F101" si="6">ABS(E67)</f>
        <v>133992000</v>
      </c>
      <c r="G67" s="1">
        <f t="shared" ref="G67:G101" si="7">_xlfn.RANK.AVG(F67,$F$2:$F$101,1)</f>
        <v>32</v>
      </c>
      <c r="H67" s="1">
        <f t="shared" ref="H67:H101" si="8">IF(E67&gt;0,G67,0)</f>
        <v>32</v>
      </c>
      <c r="I67" s="1">
        <f t="shared" ref="I67:I101" si="9">IF(E67&lt;0,G67,0)</f>
        <v>0</v>
      </c>
    </row>
    <row r="68" spans="1:9" x14ac:dyDescent="0.25">
      <c r="A68" s="1" t="s">
        <v>1</v>
      </c>
      <c r="B68" s="1">
        <v>67</v>
      </c>
      <c r="C68" s="1">
        <v>976382301</v>
      </c>
      <c r="D68" s="1">
        <v>817267000</v>
      </c>
      <c r="E68" s="1">
        <f t="shared" si="5"/>
        <v>159115301</v>
      </c>
      <c r="F68" s="1">
        <f t="shared" si="6"/>
        <v>159115301</v>
      </c>
      <c r="G68" s="1">
        <f t="shared" si="7"/>
        <v>80</v>
      </c>
      <c r="H68" s="1">
        <f t="shared" si="8"/>
        <v>80</v>
      </c>
      <c r="I68" s="1">
        <f t="shared" si="9"/>
        <v>0</v>
      </c>
    </row>
    <row r="69" spans="1:9" x14ac:dyDescent="0.25">
      <c r="A69" s="1" t="s">
        <v>1</v>
      </c>
      <c r="B69" s="1">
        <v>68</v>
      </c>
      <c r="C69" s="1">
        <v>968782701</v>
      </c>
      <c r="D69" s="1">
        <v>817696800</v>
      </c>
      <c r="E69" s="1">
        <f t="shared" si="5"/>
        <v>151085901</v>
      </c>
      <c r="F69" s="1">
        <f t="shared" si="6"/>
        <v>151085901</v>
      </c>
      <c r="G69" s="1">
        <f t="shared" si="7"/>
        <v>67</v>
      </c>
      <c r="H69" s="1">
        <f t="shared" si="8"/>
        <v>67</v>
      </c>
      <c r="I69" s="1">
        <f t="shared" si="9"/>
        <v>0</v>
      </c>
    </row>
    <row r="70" spans="1:9" x14ac:dyDescent="0.25">
      <c r="A70" s="1" t="s">
        <v>1</v>
      </c>
      <c r="B70" s="1">
        <v>69</v>
      </c>
      <c r="C70" s="1">
        <v>960009299</v>
      </c>
      <c r="D70" s="1">
        <v>825184500</v>
      </c>
      <c r="E70" s="1">
        <f t="shared" si="5"/>
        <v>134824799</v>
      </c>
      <c r="F70" s="1">
        <f t="shared" si="6"/>
        <v>134824799</v>
      </c>
      <c r="G70" s="1">
        <f t="shared" si="7"/>
        <v>35</v>
      </c>
      <c r="H70" s="1">
        <f t="shared" si="8"/>
        <v>35</v>
      </c>
      <c r="I70" s="1">
        <f t="shared" si="9"/>
        <v>0</v>
      </c>
    </row>
    <row r="71" spans="1:9" x14ac:dyDescent="0.25">
      <c r="A71" s="1" t="s">
        <v>1</v>
      </c>
      <c r="B71" s="1">
        <v>70</v>
      </c>
      <c r="C71" s="1">
        <v>983571700</v>
      </c>
      <c r="D71" s="1">
        <v>825046200</v>
      </c>
      <c r="E71" s="1">
        <f t="shared" si="5"/>
        <v>158525500</v>
      </c>
      <c r="F71" s="1">
        <f t="shared" si="6"/>
        <v>158525500</v>
      </c>
      <c r="G71" s="1">
        <f t="shared" si="7"/>
        <v>78</v>
      </c>
      <c r="H71" s="1">
        <f t="shared" si="8"/>
        <v>78</v>
      </c>
      <c r="I71" s="1">
        <f t="shared" si="9"/>
        <v>0</v>
      </c>
    </row>
    <row r="72" spans="1:9" x14ac:dyDescent="0.25">
      <c r="A72" s="1" t="s">
        <v>1</v>
      </c>
      <c r="B72" s="1">
        <v>71</v>
      </c>
      <c r="C72" s="1">
        <v>954789399</v>
      </c>
      <c r="D72" s="1">
        <v>837522700</v>
      </c>
      <c r="E72" s="1">
        <f t="shared" si="5"/>
        <v>117266699</v>
      </c>
      <c r="F72" s="1">
        <f t="shared" si="6"/>
        <v>117266699</v>
      </c>
      <c r="G72" s="1">
        <f t="shared" si="7"/>
        <v>3</v>
      </c>
      <c r="H72" s="1">
        <f t="shared" si="8"/>
        <v>3</v>
      </c>
      <c r="I72" s="1">
        <f t="shared" si="9"/>
        <v>0</v>
      </c>
    </row>
    <row r="73" spans="1:9" x14ac:dyDescent="0.25">
      <c r="A73" s="1" t="s">
        <v>1</v>
      </c>
      <c r="B73" s="1">
        <v>72</v>
      </c>
      <c r="C73" s="1">
        <v>957313900</v>
      </c>
      <c r="D73" s="1">
        <v>817118000</v>
      </c>
      <c r="E73" s="1">
        <f t="shared" si="5"/>
        <v>140195900</v>
      </c>
      <c r="F73" s="1">
        <f t="shared" si="6"/>
        <v>140195900</v>
      </c>
      <c r="G73" s="1">
        <f t="shared" si="7"/>
        <v>49</v>
      </c>
      <c r="H73" s="1">
        <f t="shared" si="8"/>
        <v>49</v>
      </c>
      <c r="I73" s="1">
        <f t="shared" si="9"/>
        <v>0</v>
      </c>
    </row>
    <row r="74" spans="1:9" x14ac:dyDescent="0.25">
      <c r="A74" s="1" t="s">
        <v>1</v>
      </c>
      <c r="B74" s="1">
        <v>73</v>
      </c>
      <c r="C74" s="1">
        <v>949696899</v>
      </c>
      <c r="D74" s="1">
        <v>827160800</v>
      </c>
      <c r="E74" s="1">
        <f t="shared" si="5"/>
        <v>122536099</v>
      </c>
      <c r="F74" s="1">
        <f t="shared" si="6"/>
        <v>122536099</v>
      </c>
      <c r="G74" s="1">
        <f t="shared" si="7"/>
        <v>9</v>
      </c>
      <c r="H74" s="1">
        <f t="shared" si="8"/>
        <v>9</v>
      </c>
      <c r="I74" s="1">
        <f t="shared" si="9"/>
        <v>0</v>
      </c>
    </row>
    <row r="75" spans="1:9" x14ac:dyDescent="0.25">
      <c r="A75" s="1" t="s">
        <v>1</v>
      </c>
      <c r="B75" s="1">
        <v>74</v>
      </c>
      <c r="C75" s="1">
        <v>964873500</v>
      </c>
      <c r="D75" s="1">
        <v>824411200</v>
      </c>
      <c r="E75" s="1">
        <f t="shared" si="5"/>
        <v>140462300</v>
      </c>
      <c r="F75" s="1">
        <f t="shared" si="6"/>
        <v>140462300</v>
      </c>
      <c r="G75" s="1">
        <f t="shared" si="7"/>
        <v>51</v>
      </c>
      <c r="H75" s="1">
        <f t="shared" si="8"/>
        <v>51</v>
      </c>
      <c r="I75" s="1">
        <f t="shared" si="9"/>
        <v>0</v>
      </c>
    </row>
    <row r="76" spans="1:9" x14ac:dyDescent="0.25">
      <c r="A76" s="1" t="s">
        <v>1</v>
      </c>
      <c r="B76" s="1">
        <v>75</v>
      </c>
      <c r="C76" s="1">
        <v>963284800</v>
      </c>
      <c r="D76" s="1">
        <v>834649100</v>
      </c>
      <c r="E76" s="1">
        <f t="shared" si="5"/>
        <v>128635700</v>
      </c>
      <c r="F76" s="1">
        <f t="shared" si="6"/>
        <v>128635700</v>
      </c>
      <c r="G76" s="1">
        <f t="shared" si="7"/>
        <v>21</v>
      </c>
      <c r="H76" s="1">
        <f t="shared" si="8"/>
        <v>21</v>
      </c>
      <c r="I76" s="1">
        <f t="shared" si="9"/>
        <v>0</v>
      </c>
    </row>
    <row r="77" spans="1:9" x14ac:dyDescent="0.25">
      <c r="A77" s="1" t="s">
        <v>1</v>
      </c>
      <c r="B77" s="1">
        <v>76</v>
      </c>
      <c r="C77" s="1">
        <v>960151200</v>
      </c>
      <c r="D77" s="1">
        <v>832902900</v>
      </c>
      <c r="E77" s="1">
        <f t="shared" si="5"/>
        <v>127248300</v>
      </c>
      <c r="F77" s="1">
        <f t="shared" si="6"/>
        <v>127248300</v>
      </c>
      <c r="G77" s="1">
        <f t="shared" si="7"/>
        <v>16</v>
      </c>
      <c r="H77" s="1">
        <f t="shared" si="8"/>
        <v>16</v>
      </c>
      <c r="I77" s="1">
        <f t="shared" si="9"/>
        <v>0</v>
      </c>
    </row>
    <row r="78" spans="1:9" x14ac:dyDescent="0.25">
      <c r="A78" s="1" t="s">
        <v>1</v>
      </c>
      <c r="B78" s="1">
        <v>77</v>
      </c>
      <c r="C78" s="1">
        <v>944422101</v>
      </c>
      <c r="D78" s="1">
        <v>829895100</v>
      </c>
      <c r="E78" s="1">
        <f t="shared" si="5"/>
        <v>114527001</v>
      </c>
      <c r="F78" s="1">
        <f t="shared" si="6"/>
        <v>114527001</v>
      </c>
      <c r="G78" s="1">
        <f t="shared" si="7"/>
        <v>2</v>
      </c>
      <c r="H78" s="1">
        <f t="shared" si="8"/>
        <v>2</v>
      </c>
      <c r="I78" s="1">
        <f t="shared" si="9"/>
        <v>0</v>
      </c>
    </row>
    <row r="79" spans="1:9" x14ac:dyDescent="0.25">
      <c r="A79" s="1" t="s">
        <v>1</v>
      </c>
      <c r="B79" s="1">
        <v>78</v>
      </c>
      <c r="C79" s="1">
        <v>942645400</v>
      </c>
      <c r="D79" s="1">
        <v>814165900</v>
      </c>
      <c r="E79" s="1">
        <f t="shared" si="5"/>
        <v>128479500</v>
      </c>
      <c r="F79" s="1">
        <f t="shared" si="6"/>
        <v>128479500</v>
      </c>
      <c r="G79" s="1">
        <f t="shared" si="7"/>
        <v>19</v>
      </c>
      <c r="H79" s="1">
        <f t="shared" si="8"/>
        <v>19</v>
      </c>
      <c r="I79" s="1">
        <f t="shared" si="9"/>
        <v>0</v>
      </c>
    </row>
    <row r="80" spans="1:9" x14ac:dyDescent="0.25">
      <c r="A80" s="1" t="s">
        <v>1</v>
      </c>
      <c r="B80" s="1">
        <v>79</v>
      </c>
      <c r="C80" s="1">
        <v>943383999</v>
      </c>
      <c r="D80" s="1">
        <v>814010200</v>
      </c>
      <c r="E80" s="1">
        <f t="shared" si="5"/>
        <v>129373799</v>
      </c>
      <c r="F80" s="1">
        <f t="shared" si="6"/>
        <v>129373799</v>
      </c>
      <c r="G80" s="1">
        <f t="shared" si="7"/>
        <v>22</v>
      </c>
      <c r="H80" s="1">
        <f t="shared" si="8"/>
        <v>22</v>
      </c>
      <c r="I80" s="1">
        <f t="shared" si="9"/>
        <v>0</v>
      </c>
    </row>
    <row r="81" spans="1:9" x14ac:dyDescent="0.25">
      <c r="A81" s="1" t="s">
        <v>1</v>
      </c>
      <c r="B81" s="1">
        <v>80</v>
      </c>
      <c r="C81" s="1">
        <v>950503900</v>
      </c>
      <c r="D81" s="1">
        <v>813916800</v>
      </c>
      <c r="E81" s="1">
        <f t="shared" si="5"/>
        <v>136587100</v>
      </c>
      <c r="F81" s="1">
        <f t="shared" si="6"/>
        <v>136587100</v>
      </c>
      <c r="G81" s="1">
        <f t="shared" si="7"/>
        <v>41</v>
      </c>
      <c r="H81" s="1">
        <f t="shared" si="8"/>
        <v>41</v>
      </c>
      <c r="I81" s="1">
        <f t="shared" si="9"/>
        <v>0</v>
      </c>
    </row>
    <row r="82" spans="1:9" x14ac:dyDescent="0.25">
      <c r="A82" s="1" t="s">
        <v>1</v>
      </c>
      <c r="B82" s="1">
        <v>81</v>
      </c>
      <c r="C82" s="1">
        <v>972180899</v>
      </c>
      <c r="D82" s="1">
        <v>823837000</v>
      </c>
      <c r="E82" s="1">
        <f t="shared" si="5"/>
        <v>148343899</v>
      </c>
      <c r="F82" s="1">
        <f t="shared" si="6"/>
        <v>148343899</v>
      </c>
      <c r="G82" s="1">
        <f t="shared" si="7"/>
        <v>60</v>
      </c>
      <c r="H82" s="1">
        <f t="shared" si="8"/>
        <v>60</v>
      </c>
      <c r="I82" s="1">
        <f t="shared" si="9"/>
        <v>0</v>
      </c>
    </row>
    <row r="83" spans="1:9" x14ac:dyDescent="0.25">
      <c r="A83" s="1" t="s">
        <v>1</v>
      </c>
      <c r="B83" s="1">
        <v>82</v>
      </c>
      <c r="C83" s="1">
        <v>960345000</v>
      </c>
      <c r="D83" s="1">
        <v>826769700</v>
      </c>
      <c r="E83" s="1">
        <f t="shared" si="5"/>
        <v>133575300</v>
      </c>
      <c r="F83" s="1">
        <f t="shared" si="6"/>
        <v>133575300</v>
      </c>
      <c r="G83" s="1">
        <f t="shared" si="7"/>
        <v>29</v>
      </c>
      <c r="H83" s="1">
        <f t="shared" si="8"/>
        <v>29</v>
      </c>
      <c r="I83" s="1">
        <f t="shared" si="9"/>
        <v>0</v>
      </c>
    </row>
    <row r="84" spans="1:9" x14ac:dyDescent="0.25">
      <c r="A84" s="1" t="s">
        <v>1</v>
      </c>
      <c r="B84" s="1">
        <v>83</v>
      </c>
      <c r="C84" s="1">
        <v>982155401</v>
      </c>
      <c r="D84" s="1">
        <v>830645900</v>
      </c>
      <c r="E84" s="1">
        <f t="shared" si="5"/>
        <v>151509501</v>
      </c>
      <c r="F84" s="1">
        <f t="shared" si="6"/>
        <v>151509501</v>
      </c>
      <c r="G84" s="1">
        <f t="shared" si="7"/>
        <v>69</v>
      </c>
      <c r="H84" s="1">
        <f t="shared" si="8"/>
        <v>69</v>
      </c>
      <c r="I84" s="1">
        <f t="shared" si="9"/>
        <v>0</v>
      </c>
    </row>
    <row r="85" spans="1:9" x14ac:dyDescent="0.25">
      <c r="A85" s="1" t="s">
        <v>1</v>
      </c>
      <c r="B85" s="1">
        <v>84</v>
      </c>
      <c r="C85" s="1">
        <v>963659100</v>
      </c>
      <c r="D85" s="1">
        <v>825684100</v>
      </c>
      <c r="E85" s="1">
        <f t="shared" si="5"/>
        <v>137975000</v>
      </c>
      <c r="F85" s="1">
        <f t="shared" si="6"/>
        <v>137975000</v>
      </c>
      <c r="G85" s="1">
        <f t="shared" si="7"/>
        <v>47</v>
      </c>
      <c r="H85" s="1">
        <f t="shared" si="8"/>
        <v>47</v>
      </c>
      <c r="I85" s="1">
        <f t="shared" si="9"/>
        <v>0</v>
      </c>
    </row>
    <row r="86" spans="1:9" x14ac:dyDescent="0.25">
      <c r="A86" s="1" t="s">
        <v>1</v>
      </c>
      <c r="B86" s="1">
        <v>85</v>
      </c>
      <c r="C86" s="1">
        <v>949806100</v>
      </c>
      <c r="D86" s="1">
        <v>823063800</v>
      </c>
      <c r="E86" s="1">
        <f t="shared" si="5"/>
        <v>126742300</v>
      </c>
      <c r="F86" s="1">
        <f t="shared" si="6"/>
        <v>126742300</v>
      </c>
      <c r="G86" s="1">
        <f t="shared" si="7"/>
        <v>14</v>
      </c>
      <c r="H86" s="1">
        <f t="shared" si="8"/>
        <v>14</v>
      </c>
      <c r="I86" s="1">
        <f t="shared" si="9"/>
        <v>0</v>
      </c>
    </row>
    <row r="87" spans="1:9" x14ac:dyDescent="0.25">
      <c r="A87" s="1" t="s">
        <v>1</v>
      </c>
      <c r="B87" s="1">
        <v>86</v>
      </c>
      <c r="C87" s="1">
        <v>951265000</v>
      </c>
      <c r="D87" s="1">
        <v>814583700</v>
      </c>
      <c r="E87" s="1">
        <f t="shared" si="5"/>
        <v>136681300</v>
      </c>
      <c r="F87" s="1">
        <f t="shared" si="6"/>
        <v>136681300</v>
      </c>
      <c r="G87" s="1">
        <f t="shared" si="7"/>
        <v>42</v>
      </c>
      <c r="H87" s="1">
        <f t="shared" si="8"/>
        <v>42</v>
      </c>
      <c r="I87" s="1">
        <f t="shared" si="9"/>
        <v>0</v>
      </c>
    </row>
    <row r="88" spans="1:9" x14ac:dyDescent="0.25">
      <c r="A88" s="1" t="s">
        <v>1</v>
      </c>
      <c r="B88" s="1">
        <v>87</v>
      </c>
      <c r="C88" s="1">
        <v>942552100</v>
      </c>
      <c r="D88" s="1">
        <v>813999500</v>
      </c>
      <c r="E88" s="1">
        <f t="shared" si="5"/>
        <v>128552600</v>
      </c>
      <c r="F88" s="1">
        <f t="shared" si="6"/>
        <v>128552600</v>
      </c>
      <c r="G88" s="1">
        <f t="shared" si="7"/>
        <v>20</v>
      </c>
      <c r="H88" s="1">
        <f t="shared" si="8"/>
        <v>20</v>
      </c>
      <c r="I88" s="1">
        <f t="shared" si="9"/>
        <v>0</v>
      </c>
    </row>
    <row r="89" spans="1:9" x14ac:dyDescent="0.25">
      <c r="A89" s="1" t="s">
        <v>1</v>
      </c>
      <c r="B89" s="1">
        <v>88</v>
      </c>
      <c r="C89" s="1">
        <v>943985301</v>
      </c>
      <c r="D89" s="1">
        <v>813910800</v>
      </c>
      <c r="E89" s="1">
        <f t="shared" si="5"/>
        <v>130074501</v>
      </c>
      <c r="F89" s="1">
        <f t="shared" si="6"/>
        <v>130074501</v>
      </c>
      <c r="G89" s="1">
        <f t="shared" si="7"/>
        <v>24</v>
      </c>
      <c r="H89" s="1">
        <f t="shared" si="8"/>
        <v>24</v>
      </c>
      <c r="I89" s="1">
        <f t="shared" si="9"/>
        <v>0</v>
      </c>
    </row>
    <row r="90" spans="1:9" x14ac:dyDescent="0.25">
      <c r="A90" s="1" t="s">
        <v>1</v>
      </c>
      <c r="B90" s="1">
        <v>89</v>
      </c>
      <c r="C90" s="1">
        <v>945527900</v>
      </c>
      <c r="D90" s="1">
        <v>814320000</v>
      </c>
      <c r="E90" s="1">
        <f t="shared" si="5"/>
        <v>131207900</v>
      </c>
      <c r="F90" s="1">
        <f t="shared" si="6"/>
        <v>131207900</v>
      </c>
      <c r="G90" s="1">
        <f t="shared" si="7"/>
        <v>26</v>
      </c>
      <c r="H90" s="1">
        <f t="shared" si="8"/>
        <v>26</v>
      </c>
      <c r="I90" s="1">
        <f t="shared" si="9"/>
        <v>0</v>
      </c>
    </row>
    <row r="91" spans="1:9" x14ac:dyDescent="0.25">
      <c r="A91" s="1" t="s">
        <v>1</v>
      </c>
      <c r="B91" s="1">
        <v>90</v>
      </c>
      <c r="C91" s="1">
        <v>942255900</v>
      </c>
      <c r="D91" s="1">
        <v>814341900</v>
      </c>
      <c r="E91" s="1">
        <f t="shared" si="5"/>
        <v>127914000</v>
      </c>
      <c r="F91" s="1">
        <f t="shared" si="6"/>
        <v>127914000</v>
      </c>
      <c r="G91" s="1">
        <f t="shared" si="7"/>
        <v>18</v>
      </c>
      <c r="H91" s="1">
        <f t="shared" si="8"/>
        <v>18</v>
      </c>
      <c r="I91" s="1">
        <f t="shared" si="9"/>
        <v>0</v>
      </c>
    </row>
    <row r="92" spans="1:9" x14ac:dyDescent="0.25">
      <c r="A92" s="1" t="s">
        <v>1</v>
      </c>
      <c r="B92" s="1">
        <v>91</v>
      </c>
      <c r="C92" s="1">
        <v>948924900</v>
      </c>
      <c r="D92" s="1">
        <v>814190200</v>
      </c>
      <c r="E92" s="1">
        <f t="shared" si="5"/>
        <v>134734700</v>
      </c>
      <c r="F92" s="1">
        <f t="shared" si="6"/>
        <v>134734700</v>
      </c>
      <c r="G92" s="1">
        <f t="shared" si="7"/>
        <v>34</v>
      </c>
      <c r="H92" s="1">
        <f t="shared" si="8"/>
        <v>34</v>
      </c>
      <c r="I92" s="1">
        <f t="shared" si="9"/>
        <v>0</v>
      </c>
    </row>
    <row r="93" spans="1:9" x14ac:dyDescent="0.25">
      <c r="A93" s="1" t="s">
        <v>1</v>
      </c>
      <c r="B93" s="1">
        <v>92</v>
      </c>
      <c r="C93" s="1">
        <v>942800901</v>
      </c>
      <c r="D93" s="1">
        <v>825252500</v>
      </c>
      <c r="E93" s="1">
        <f t="shared" si="5"/>
        <v>117548401</v>
      </c>
      <c r="F93" s="1">
        <f t="shared" si="6"/>
        <v>117548401</v>
      </c>
      <c r="G93" s="1">
        <f t="shared" si="7"/>
        <v>4</v>
      </c>
      <c r="H93" s="1">
        <f t="shared" si="8"/>
        <v>4</v>
      </c>
      <c r="I93" s="1">
        <f t="shared" si="9"/>
        <v>0</v>
      </c>
    </row>
    <row r="94" spans="1:9" x14ac:dyDescent="0.25">
      <c r="A94" s="1" t="s">
        <v>1</v>
      </c>
      <c r="B94" s="1">
        <v>93</v>
      </c>
      <c r="C94" s="1">
        <v>941868599</v>
      </c>
      <c r="D94" s="1">
        <v>821694600</v>
      </c>
      <c r="E94" s="1">
        <f t="shared" si="5"/>
        <v>120173999</v>
      </c>
      <c r="F94" s="1">
        <f t="shared" si="6"/>
        <v>120173999</v>
      </c>
      <c r="G94" s="1">
        <f t="shared" si="7"/>
        <v>6</v>
      </c>
      <c r="H94" s="1">
        <f t="shared" si="8"/>
        <v>6</v>
      </c>
      <c r="I94" s="1">
        <f t="shared" si="9"/>
        <v>0</v>
      </c>
    </row>
    <row r="95" spans="1:9" x14ac:dyDescent="0.25">
      <c r="A95" s="1" t="s">
        <v>1</v>
      </c>
      <c r="B95" s="1">
        <v>94</v>
      </c>
      <c r="C95" s="1">
        <v>945822800</v>
      </c>
      <c r="D95" s="1">
        <v>825257000</v>
      </c>
      <c r="E95" s="1">
        <f t="shared" si="5"/>
        <v>120565800</v>
      </c>
      <c r="F95" s="1">
        <f t="shared" si="6"/>
        <v>120565800</v>
      </c>
      <c r="G95" s="1">
        <f t="shared" si="7"/>
        <v>7</v>
      </c>
      <c r="H95" s="1">
        <f t="shared" si="8"/>
        <v>7</v>
      </c>
      <c r="I95" s="1">
        <f t="shared" si="9"/>
        <v>0</v>
      </c>
    </row>
    <row r="96" spans="1:9" x14ac:dyDescent="0.25">
      <c r="A96" s="1" t="s">
        <v>1</v>
      </c>
      <c r="B96" s="1">
        <v>95</v>
      </c>
      <c r="C96" s="1">
        <v>945630799</v>
      </c>
      <c r="D96" s="1">
        <v>825465500</v>
      </c>
      <c r="E96" s="1">
        <f t="shared" si="5"/>
        <v>120165299</v>
      </c>
      <c r="F96" s="1">
        <f t="shared" si="6"/>
        <v>120165299</v>
      </c>
      <c r="G96" s="1">
        <f t="shared" si="7"/>
        <v>5</v>
      </c>
      <c r="H96" s="1">
        <f t="shared" si="8"/>
        <v>5</v>
      </c>
      <c r="I96" s="1">
        <f t="shared" si="9"/>
        <v>0</v>
      </c>
    </row>
    <row r="97" spans="1:20" x14ac:dyDescent="0.25">
      <c r="A97" s="1" t="s">
        <v>1</v>
      </c>
      <c r="B97" s="1">
        <v>96</v>
      </c>
      <c r="C97" s="1">
        <v>948451500</v>
      </c>
      <c r="D97" s="1">
        <v>822636400</v>
      </c>
      <c r="E97" s="1">
        <f t="shared" si="5"/>
        <v>125815100</v>
      </c>
      <c r="F97" s="1">
        <f t="shared" si="6"/>
        <v>125815100</v>
      </c>
      <c r="G97" s="1">
        <f t="shared" si="7"/>
        <v>13</v>
      </c>
      <c r="H97" s="1">
        <f t="shared" si="8"/>
        <v>13</v>
      </c>
      <c r="I97" s="1">
        <f t="shared" si="9"/>
        <v>0</v>
      </c>
    </row>
    <row r="98" spans="1:20" x14ac:dyDescent="0.25">
      <c r="A98" s="1" t="s">
        <v>1</v>
      </c>
      <c r="B98" s="1">
        <v>97</v>
      </c>
      <c r="C98" s="1">
        <v>944505800</v>
      </c>
      <c r="D98" s="1">
        <v>814509300</v>
      </c>
      <c r="E98" s="1">
        <f t="shared" si="5"/>
        <v>129996500</v>
      </c>
      <c r="F98" s="1">
        <f t="shared" si="6"/>
        <v>129996500</v>
      </c>
      <c r="G98" s="1">
        <f t="shared" si="7"/>
        <v>23</v>
      </c>
      <c r="H98" s="1">
        <f t="shared" si="8"/>
        <v>23</v>
      </c>
      <c r="I98" s="1">
        <f t="shared" si="9"/>
        <v>0</v>
      </c>
    </row>
    <row r="99" spans="1:20" x14ac:dyDescent="0.25">
      <c r="A99" s="1" t="s">
        <v>1</v>
      </c>
      <c r="B99" s="1">
        <v>98</v>
      </c>
      <c r="C99" s="1">
        <v>951358400</v>
      </c>
      <c r="D99" s="1">
        <v>814002000</v>
      </c>
      <c r="E99" s="1">
        <f t="shared" si="5"/>
        <v>137356400</v>
      </c>
      <c r="F99" s="1">
        <f t="shared" si="6"/>
        <v>137356400</v>
      </c>
      <c r="G99" s="1">
        <f t="shared" si="7"/>
        <v>44</v>
      </c>
      <c r="H99" s="1">
        <f t="shared" si="8"/>
        <v>44</v>
      </c>
      <c r="I99" s="1">
        <f t="shared" si="9"/>
        <v>0</v>
      </c>
    </row>
    <row r="100" spans="1:20" x14ac:dyDescent="0.25">
      <c r="A100" s="1" t="s">
        <v>1</v>
      </c>
      <c r="B100" s="1">
        <v>99</v>
      </c>
      <c r="C100" s="1">
        <v>947798700</v>
      </c>
      <c r="D100" s="1">
        <v>813988400</v>
      </c>
      <c r="E100" s="1">
        <f t="shared" si="5"/>
        <v>133810300</v>
      </c>
      <c r="F100" s="1">
        <f t="shared" si="6"/>
        <v>133810300</v>
      </c>
      <c r="G100" s="1">
        <f t="shared" si="7"/>
        <v>31</v>
      </c>
      <c r="H100" s="1">
        <f t="shared" si="8"/>
        <v>31</v>
      </c>
      <c r="I100" s="1">
        <f t="shared" si="9"/>
        <v>0</v>
      </c>
    </row>
    <row r="101" spans="1:20" x14ac:dyDescent="0.25">
      <c r="A101" s="1" t="s">
        <v>1</v>
      </c>
      <c r="B101" s="1">
        <v>100</v>
      </c>
      <c r="C101" s="1">
        <v>941881501</v>
      </c>
      <c r="D101" s="1">
        <v>814210000</v>
      </c>
      <c r="E101" s="1">
        <f t="shared" si="5"/>
        <v>127671501</v>
      </c>
      <c r="F101" s="1">
        <f t="shared" si="6"/>
        <v>127671501</v>
      </c>
      <c r="G101" s="1">
        <f t="shared" si="7"/>
        <v>17</v>
      </c>
      <c r="H101" s="1">
        <f t="shared" si="8"/>
        <v>17</v>
      </c>
      <c r="I101" s="1">
        <f t="shared" si="9"/>
        <v>0</v>
      </c>
    </row>
    <row r="104" spans="1:20" x14ac:dyDescent="0.25">
      <c r="A104" s="1" t="s">
        <v>0</v>
      </c>
      <c r="B104" s="1" t="s">
        <v>18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1" t="s">
        <v>8</v>
      </c>
      <c r="Q104" s="1" t="s">
        <v>11</v>
      </c>
      <c r="R104" s="1" t="s">
        <v>12</v>
      </c>
      <c r="S104" s="1" t="s">
        <v>14</v>
      </c>
      <c r="T104" s="1" t="s">
        <v>15</v>
      </c>
    </row>
    <row r="105" spans="1:20" x14ac:dyDescent="0.25">
      <c r="A105" s="1" t="s">
        <v>17</v>
      </c>
      <c r="B105" s="1">
        <v>1</v>
      </c>
      <c r="C105" s="1">
        <v>628313599</v>
      </c>
      <c r="D105" s="1">
        <v>916989800</v>
      </c>
      <c r="E105" s="1">
        <f>C105-D105</f>
        <v>-288676201</v>
      </c>
      <c r="F105" s="1">
        <f>ABS(E105)</f>
        <v>288676201</v>
      </c>
      <c r="G105" s="1">
        <f>_xlfn.RANK.AVG(F105,$F$105:$F$204,1)</f>
        <v>13</v>
      </c>
      <c r="H105" s="1">
        <f>IF(E105&gt;0,G105,0)</f>
        <v>0</v>
      </c>
      <c r="I105" s="1">
        <f>IF(E105&lt;0,G105,0)</f>
        <v>13</v>
      </c>
      <c r="N105" s="1" t="s">
        <v>9</v>
      </c>
      <c r="O105" s="1">
        <f>SUM(H105:H204)</f>
        <v>0</v>
      </c>
      <c r="Q105" s="1">
        <f>100*(101)/4</f>
        <v>2525</v>
      </c>
      <c r="R105" s="1">
        <f>SQRT(100*101*201/24)</f>
        <v>290.83930270855763</v>
      </c>
      <c r="S105" s="1">
        <f>(O107-Q105)/R105</f>
        <v>-8.6817702301061956</v>
      </c>
      <c r="T105" s="1">
        <f>_xlfn.NORM.S.DIST(-ABS(S105),1)*2</f>
        <v>3.8965598450959092E-18</v>
      </c>
    </row>
    <row r="106" spans="1:20" x14ac:dyDescent="0.25">
      <c r="A106" s="1" t="s">
        <v>17</v>
      </c>
      <c r="B106" s="1">
        <v>2</v>
      </c>
      <c r="C106" s="1">
        <v>620948000</v>
      </c>
      <c r="D106" s="1">
        <v>911609600</v>
      </c>
      <c r="E106" s="1">
        <f t="shared" ref="E106:E169" si="10">C106-D106</f>
        <v>-290661600</v>
      </c>
      <c r="F106" s="1">
        <f t="shared" ref="F106:F169" si="11">ABS(E106)</f>
        <v>290661600</v>
      </c>
      <c r="G106" s="1">
        <f t="shared" ref="G106:G169" si="12">_xlfn.RANK.AVG(F106,$F$105:$F$204,1)</f>
        <v>17</v>
      </c>
      <c r="H106" s="1">
        <f t="shared" ref="H106:H169" si="13">IF(E106&gt;0,G106,0)</f>
        <v>0</v>
      </c>
      <c r="I106" s="1">
        <f t="shared" ref="I106:I169" si="14">IF(E106&lt;0,G106,0)</f>
        <v>17</v>
      </c>
      <c r="N106" s="1" t="s">
        <v>10</v>
      </c>
      <c r="O106" s="1">
        <f>SUM(I105:I204)</f>
        <v>5050</v>
      </c>
    </row>
    <row r="107" spans="1:20" x14ac:dyDescent="0.25">
      <c r="A107" s="1" t="s">
        <v>17</v>
      </c>
      <c r="B107" s="1">
        <v>3</v>
      </c>
      <c r="C107" s="1">
        <v>616955101</v>
      </c>
      <c r="D107" s="1">
        <v>923823800</v>
      </c>
      <c r="E107" s="1">
        <f t="shared" si="10"/>
        <v>-306868699</v>
      </c>
      <c r="F107" s="1">
        <f t="shared" si="11"/>
        <v>306868699</v>
      </c>
      <c r="G107" s="1">
        <f t="shared" si="12"/>
        <v>81</v>
      </c>
      <c r="H107" s="1">
        <f t="shared" si="13"/>
        <v>0</v>
      </c>
      <c r="I107" s="1">
        <f t="shared" si="14"/>
        <v>81</v>
      </c>
      <c r="N107" s="1" t="s">
        <v>13</v>
      </c>
      <c r="O107" s="1">
        <f>MIN(O105,O106)</f>
        <v>0</v>
      </c>
    </row>
    <row r="108" spans="1:20" x14ac:dyDescent="0.25">
      <c r="A108" s="1" t="s">
        <v>17</v>
      </c>
      <c r="B108" s="1">
        <v>4</v>
      </c>
      <c r="C108" s="1">
        <v>617488499</v>
      </c>
      <c r="D108" s="1">
        <v>914138900</v>
      </c>
      <c r="E108" s="1">
        <f t="shared" si="10"/>
        <v>-296650401</v>
      </c>
      <c r="F108" s="1">
        <f t="shared" si="11"/>
        <v>296650401</v>
      </c>
      <c r="G108" s="1">
        <f t="shared" si="12"/>
        <v>28</v>
      </c>
      <c r="H108" s="1">
        <f t="shared" si="13"/>
        <v>0</v>
      </c>
      <c r="I108" s="1">
        <f t="shared" si="14"/>
        <v>28</v>
      </c>
    </row>
    <row r="109" spans="1:20" x14ac:dyDescent="0.25">
      <c r="A109" s="1" t="s">
        <v>17</v>
      </c>
      <c r="B109" s="1">
        <v>5</v>
      </c>
      <c r="C109" s="1">
        <v>616732500</v>
      </c>
      <c r="D109" s="1">
        <v>910574500</v>
      </c>
      <c r="E109" s="1">
        <f t="shared" si="10"/>
        <v>-293842000</v>
      </c>
      <c r="F109" s="1">
        <f t="shared" si="11"/>
        <v>293842000</v>
      </c>
      <c r="G109" s="1">
        <f t="shared" si="12"/>
        <v>23</v>
      </c>
      <c r="H109" s="1">
        <f t="shared" si="13"/>
        <v>0</v>
      </c>
      <c r="I109" s="1">
        <f t="shared" si="14"/>
        <v>23</v>
      </c>
    </row>
    <row r="110" spans="1:20" x14ac:dyDescent="0.25">
      <c r="A110" s="1" t="s">
        <v>17</v>
      </c>
      <c r="B110" s="1">
        <v>6</v>
      </c>
      <c r="C110" s="1">
        <v>616616099</v>
      </c>
      <c r="D110" s="1">
        <v>914640400</v>
      </c>
      <c r="E110" s="1">
        <f t="shared" si="10"/>
        <v>-298024301</v>
      </c>
      <c r="F110" s="1">
        <f t="shared" si="11"/>
        <v>298024301</v>
      </c>
      <c r="G110" s="1">
        <f t="shared" si="12"/>
        <v>34</v>
      </c>
      <c r="H110" s="1">
        <f t="shared" si="13"/>
        <v>0</v>
      </c>
      <c r="I110" s="1">
        <f t="shared" si="14"/>
        <v>34</v>
      </c>
    </row>
    <row r="111" spans="1:20" x14ac:dyDescent="0.25">
      <c r="A111" s="1" t="s">
        <v>17</v>
      </c>
      <c r="B111" s="1">
        <v>7</v>
      </c>
      <c r="C111" s="1">
        <v>616100900</v>
      </c>
      <c r="D111" s="1">
        <v>927038400</v>
      </c>
      <c r="E111" s="1">
        <f t="shared" si="10"/>
        <v>-310937500</v>
      </c>
      <c r="F111" s="1">
        <f t="shared" si="11"/>
        <v>310937500</v>
      </c>
      <c r="G111" s="1">
        <f t="shared" si="12"/>
        <v>89</v>
      </c>
      <c r="H111" s="1">
        <f t="shared" si="13"/>
        <v>0</v>
      </c>
      <c r="I111" s="1">
        <f t="shared" si="14"/>
        <v>89</v>
      </c>
    </row>
    <row r="112" spans="1:20" x14ac:dyDescent="0.25">
      <c r="A112" s="1" t="s">
        <v>17</v>
      </c>
      <c r="B112" s="1">
        <v>8</v>
      </c>
      <c r="C112" s="1">
        <v>616883300</v>
      </c>
      <c r="D112" s="1">
        <v>920911800</v>
      </c>
      <c r="E112" s="1">
        <f t="shared" si="10"/>
        <v>-304028500</v>
      </c>
      <c r="F112" s="1">
        <f t="shared" si="11"/>
        <v>304028500</v>
      </c>
      <c r="G112" s="1">
        <f t="shared" si="12"/>
        <v>65</v>
      </c>
      <c r="H112" s="1">
        <f t="shared" si="13"/>
        <v>0</v>
      </c>
      <c r="I112" s="1">
        <f t="shared" si="14"/>
        <v>65</v>
      </c>
    </row>
    <row r="113" spans="1:20" x14ac:dyDescent="0.25">
      <c r="A113" s="1" t="s">
        <v>17</v>
      </c>
      <c r="B113" s="1">
        <v>9</v>
      </c>
      <c r="C113" s="1">
        <v>617499300</v>
      </c>
      <c r="D113" s="1">
        <v>915549600</v>
      </c>
      <c r="E113" s="1">
        <f t="shared" si="10"/>
        <v>-298050300</v>
      </c>
      <c r="F113" s="1">
        <f t="shared" si="11"/>
        <v>298050300</v>
      </c>
      <c r="G113" s="1">
        <f t="shared" si="12"/>
        <v>35</v>
      </c>
      <c r="H113" s="1">
        <f t="shared" si="13"/>
        <v>0</v>
      </c>
      <c r="I113" s="1">
        <f t="shared" si="14"/>
        <v>35</v>
      </c>
    </row>
    <row r="114" spans="1:20" x14ac:dyDescent="0.25">
      <c r="A114" s="1" t="s">
        <v>17</v>
      </c>
      <c r="B114" s="1">
        <v>10</v>
      </c>
      <c r="C114" s="1">
        <v>621299400</v>
      </c>
      <c r="D114" s="1">
        <v>924845800</v>
      </c>
      <c r="E114" s="1">
        <f t="shared" si="10"/>
        <v>-303546400</v>
      </c>
      <c r="F114" s="1">
        <f t="shared" si="11"/>
        <v>303546400</v>
      </c>
      <c r="G114" s="1">
        <f t="shared" si="12"/>
        <v>63</v>
      </c>
      <c r="H114" s="1">
        <f t="shared" si="13"/>
        <v>0</v>
      </c>
      <c r="I114" s="1">
        <f t="shared" si="14"/>
        <v>63</v>
      </c>
    </row>
    <row r="115" spans="1:20" x14ac:dyDescent="0.25">
      <c r="A115" s="1" t="s">
        <v>17</v>
      </c>
      <c r="B115" s="1">
        <v>11</v>
      </c>
      <c r="C115" s="1">
        <v>624307500</v>
      </c>
      <c r="D115" s="1">
        <v>919527500</v>
      </c>
      <c r="E115" s="1">
        <f t="shared" si="10"/>
        <v>-295220000</v>
      </c>
      <c r="F115" s="1">
        <f t="shared" si="11"/>
        <v>295220000</v>
      </c>
      <c r="G115" s="1">
        <f t="shared" si="12"/>
        <v>26</v>
      </c>
      <c r="H115" s="1">
        <f t="shared" si="13"/>
        <v>0</v>
      </c>
      <c r="I115" s="1">
        <f t="shared" si="14"/>
        <v>26</v>
      </c>
    </row>
    <row r="116" spans="1:20" x14ac:dyDescent="0.25">
      <c r="A116" s="1" t="s">
        <v>17</v>
      </c>
      <c r="B116" s="1">
        <v>12</v>
      </c>
      <c r="C116" s="1">
        <v>625110701</v>
      </c>
      <c r="D116" s="1">
        <v>913419800</v>
      </c>
      <c r="E116" s="1">
        <f t="shared" si="10"/>
        <v>-288309099</v>
      </c>
      <c r="F116" s="1">
        <f t="shared" si="11"/>
        <v>288309099</v>
      </c>
      <c r="G116" s="1">
        <f t="shared" si="12"/>
        <v>12</v>
      </c>
      <c r="H116" s="1">
        <f t="shared" si="13"/>
        <v>0</v>
      </c>
      <c r="I116" s="1">
        <f t="shared" si="14"/>
        <v>12</v>
      </c>
      <c r="N116" s="2" t="s">
        <v>20</v>
      </c>
      <c r="O116" s="2"/>
      <c r="P116" s="2"/>
      <c r="Q116" s="2"/>
      <c r="R116" s="2"/>
      <c r="S116" s="2"/>
      <c r="T116" s="2"/>
    </row>
    <row r="117" spans="1:20" x14ac:dyDescent="0.25">
      <c r="A117" s="1" t="s">
        <v>17</v>
      </c>
      <c r="B117" s="1">
        <v>13</v>
      </c>
      <c r="C117" s="1">
        <v>624296000</v>
      </c>
      <c r="D117" s="1">
        <v>922911300</v>
      </c>
      <c r="E117" s="1">
        <f t="shared" si="10"/>
        <v>-298615300</v>
      </c>
      <c r="F117" s="1">
        <f t="shared" si="11"/>
        <v>298615300</v>
      </c>
      <c r="G117" s="1">
        <f t="shared" si="12"/>
        <v>40</v>
      </c>
      <c r="H117" s="1">
        <f t="shared" si="13"/>
        <v>0</v>
      </c>
      <c r="I117" s="1">
        <f t="shared" si="14"/>
        <v>40</v>
      </c>
      <c r="N117" s="2"/>
      <c r="O117" s="2"/>
      <c r="P117" s="2"/>
      <c r="Q117" s="2"/>
      <c r="R117" s="2"/>
      <c r="S117" s="2"/>
      <c r="T117" s="2"/>
    </row>
    <row r="118" spans="1:20" x14ac:dyDescent="0.25">
      <c r="A118" s="1" t="s">
        <v>17</v>
      </c>
      <c r="B118" s="1">
        <v>14</v>
      </c>
      <c r="C118" s="1">
        <v>625646500</v>
      </c>
      <c r="D118" s="1">
        <v>918586200</v>
      </c>
      <c r="E118" s="1">
        <f t="shared" si="10"/>
        <v>-292939700</v>
      </c>
      <c r="F118" s="1">
        <f t="shared" si="11"/>
        <v>292939700</v>
      </c>
      <c r="G118" s="1">
        <f t="shared" si="12"/>
        <v>19</v>
      </c>
      <c r="H118" s="1">
        <f t="shared" si="13"/>
        <v>0</v>
      </c>
      <c r="I118" s="1">
        <f t="shared" si="14"/>
        <v>19</v>
      </c>
      <c r="N118" s="2"/>
      <c r="O118" s="2"/>
      <c r="P118" s="2"/>
      <c r="Q118" s="2"/>
      <c r="R118" s="2"/>
      <c r="S118" s="2"/>
      <c r="T118" s="2"/>
    </row>
    <row r="119" spans="1:20" x14ac:dyDescent="0.25">
      <c r="A119" s="1" t="s">
        <v>17</v>
      </c>
      <c r="B119" s="1">
        <v>15</v>
      </c>
      <c r="C119" s="1">
        <v>625728299</v>
      </c>
      <c r="D119" s="1">
        <v>927634300</v>
      </c>
      <c r="E119" s="1">
        <f t="shared" si="10"/>
        <v>-301906001</v>
      </c>
      <c r="F119" s="1">
        <f t="shared" si="11"/>
        <v>301906001</v>
      </c>
      <c r="G119" s="1">
        <f t="shared" si="12"/>
        <v>58</v>
      </c>
      <c r="H119" s="1">
        <f t="shared" si="13"/>
        <v>0</v>
      </c>
      <c r="I119" s="1">
        <f t="shared" si="14"/>
        <v>58</v>
      </c>
      <c r="N119" s="2"/>
      <c r="O119" s="2"/>
      <c r="P119" s="2"/>
      <c r="Q119" s="2"/>
      <c r="R119" s="2"/>
      <c r="S119" s="2"/>
      <c r="T119" s="2"/>
    </row>
    <row r="120" spans="1:20" x14ac:dyDescent="0.25">
      <c r="A120" s="1" t="s">
        <v>17</v>
      </c>
      <c r="B120" s="1">
        <v>16</v>
      </c>
      <c r="C120" s="1">
        <v>624954700</v>
      </c>
      <c r="D120" s="1">
        <v>931972800</v>
      </c>
      <c r="E120" s="1">
        <f t="shared" si="10"/>
        <v>-307018100</v>
      </c>
      <c r="F120" s="1">
        <f t="shared" si="11"/>
        <v>307018100</v>
      </c>
      <c r="G120" s="1">
        <f t="shared" si="12"/>
        <v>83</v>
      </c>
      <c r="H120" s="1">
        <f t="shared" si="13"/>
        <v>0</v>
      </c>
      <c r="I120" s="1">
        <f t="shared" si="14"/>
        <v>83</v>
      </c>
      <c r="N120" s="2"/>
      <c r="O120" s="2"/>
      <c r="P120" s="2"/>
      <c r="Q120" s="2"/>
      <c r="R120" s="2"/>
      <c r="S120" s="2"/>
      <c r="T120" s="2"/>
    </row>
    <row r="121" spans="1:20" x14ac:dyDescent="0.25">
      <c r="A121" s="1" t="s">
        <v>17</v>
      </c>
      <c r="B121" s="1">
        <v>17</v>
      </c>
      <c r="C121" s="1">
        <v>630577600</v>
      </c>
      <c r="D121" s="1">
        <v>936874700</v>
      </c>
      <c r="E121" s="1">
        <f t="shared" si="10"/>
        <v>-306297100</v>
      </c>
      <c r="F121" s="1">
        <f t="shared" si="11"/>
        <v>306297100</v>
      </c>
      <c r="G121" s="1">
        <f t="shared" si="12"/>
        <v>78</v>
      </c>
      <c r="H121" s="1">
        <f t="shared" si="13"/>
        <v>0</v>
      </c>
      <c r="I121" s="1">
        <f t="shared" si="14"/>
        <v>78</v>
      </c>
    </row>
    <row r="122" spans="1:20" x14ac:dyDescent="0.25">
      <c r="A122" s="1" t="s">
        <v>17</v>
      </c>
      <c r="B122" s="1">
        <v>18</v>
      </c>
      <c r="C122" s="1">
        <v>624871901</v>
      </c>
      <c r="D122" s="1">
        <v>918670900</v>
      </c>
      <c r="E122" s="1">
        <f t="shared" si="10"/>
        <v>-293798999</v>
      </c>
      <c r="F122" s="1">
        <f t="shared" si="11"/>
        <v>293798999</v>
      </c>
      <c r="G122" s="1">
        <f t="shared" si="12"/>
        <v>22</v>
      </c>
      <c r="H122" s="1">
        <f t="shared" si="13"/>
        <v>0</v>
      </c>
      <c r="I122" s="1">
        <f t="shared" si="14"/>
        <v>22</v>
      </c>
    </row>
    <row r="123" spans="1:20" x14ac:dyDescent="0.25">
      <c r="A123" s="1" t="s">
        <v>17</v>
      </c>
      <c r="B123" s="1">
        <v>19</v>
      </c>
      <c r="C123" s="1">
        <v>617328801</v>
      </c>
      <c r="D123" s="1">
        <v>921558100</v>
      </c>
      <c r="E123" s="1">
        <f t="shared" si="10"/>
        <v>-304229299</v>
      </c>
      <c r="F123" s="1">
        <f t="shared" si="11"/>
        <v>304229299</v>
      </c>
      <c r="G123" s="1">
        <f t="shared" si="12"/>
        <v>68</v>
      </c>
      <c r="H123" s="1">
        <f t="shared" si="13"/>
        <v>0</v>
      </c>
      <c r="I123" s="1">
        <f t="shared" si="14"/>
        <v>68</v>
      </c>
    </row>
    <row r="124" spans="1:20" x14ac:dyDescent="0.25">
      <c r="A124" s="1" t="s">
        <v>17</v>
      </c>
      <c r="B124" s="1">
        <v>20</v>
      </c>
      <c r="C124" s="1">
        <v>617016399</v>
      </c>
      <c r="D124" s="1">
        <v>918296300</v>
      </c>
      <c r="E124" s="1">
        <f t="shared" si="10"/>
        <v>-301279901</v>
      </c>
      <c r="F124" s="1">
        <f t="shared" si="11"/>
        <v>301279901</v>
      </c>
      <c r="G124" s="1">
        <f t="shared" si="12"/>
        <v>54</v>
      </c>
      <c r="H124" s="1">
        <f t="shared" si="13"/>
        <v>0</v>
      </c>
      <c r="I124" s="1">
        <f t="shared" si="14"/>
        <v>54</v>
      </c>
    </row>
    <row r="125" spans="1:20" x14ac:dyDescent="0.25">
      <c r="A125" s="1" t="s">
        <v>17</v>
      </c>
      <c r="B125" s="1">
        <v>21</v>
      </c>
      <c r="C125" s="1">
        <v>615914100</v>
      </c>
      <c r="D125" s="1">
        <v>940106000</v>
      </c>
      <c r="E125" s="1">
        <f t="shared" si="10"/>
        <v>-324191900</v>
      </c>
      <c r="F125" s="1">
        <f t="shared" si="11"/>
        <v>324191900</v>
      </c>
      <c r="G125" s="1">
        <f t="shared" si="12"/>
        <v>98</v>
      </c>
      <c r="H125" s="1">
        <f t="shared" si="13"/>
        <v>0</v>
      </c>
      <c r="I125" s="1">
        <f t="shared" si="14"/>
        <v>98</v>
      </c>
    </row>
    <row r="126" spans="1:20" x14ac:dyDescent="0.25">
      <c r="A126" s="1" t="s">
        <v>17</v>
      </c>
      <c r="B126" s="1">
        <v>22</v>
      </c>
      <c r="C126" s="1">
        <v>615909800</v>
      </c>
      <c r="D126" s="1">
        <v>922364300</v>
      </c>
      <c r="E126" s="1">
        <f t="shared" si="10"/>
        <v>-306454500</v>
      </c>
      <c r="F126" s="1">
        <f t="shared" si="11"/>
        <v>306454500</v>
      </c>
      <c r="G126" s="1">
        <f t="shared" si="12"/>
        <v>79</v>
      </c>
      <c r="H126" s="1">
        <f t="shared" si="13"/>
        <v>0</v>
      </c>
      <c r="I126" s="1">
        <f t="shared" si="14"/>
        <v>79</v>
      </c>
    </row>
    <row r="127" spans="1:20" x14ac:dyDescent="0.25">
      <c r="A127" s="1" t="s">
        <v>17</v>
      </c>
      <c r="B127" s="1">
        <v>23</v>
      </c>
      <c r="C127" s="1">
        <v>616659499</v>
      </c>
      <c r="D127" s="1">
        <v>915183500</v>
      </c>
      <c r="E127" s="1">
        <f t="shared" si="10"/>
        <v>-298524001</v>
      </c>
      <c r="F127" s="1">
        <f t="shared" si="11"/>
        <v>298524001</v>
      </c>
      <c r="G127" s="1">
        <f t="shared" si="12"/>
        <v>38</v>
      </c>
      <c r="H127" s="1">
        <f t="shared" si="13"/>
        <v>0</v>
      </c>
      <c r="I127" s="1">
        <f t="shared" si="14"/>
        <v>38</v>
      </c>
    </row>
    <row r="128" spans="1:20" x14ac:dyDescent="0.25">
      <c r="A128" s="1" t="s">
        <v>17</v>
      </c>
      <c r="B128" s="1">
        <v>24</v>
      </c>
      <c r="C128" s="1">
        <v>616724000</v>
      </c>
      <c r="D128" s="1">
        <v>915455200</v>
      </c>
      <c r="E128" s="1">
        <f t="shared" si="10"/>
        <v>-298731200</v>
      </c>
      <c r="F128" s="1">
        <f t="shared" si="11"/>
        <v>298731200</v>
      </c>
      <c r="G128" s="1">
        <f t="shared" si="12"/>
        <v>41</v>
      </c>
      <c r="H128" s="1">
        <f t="shared" si="13"/>
        <v>0</v>
      </c>
      <c r="I128" s="1">
        <f t="shared" si="14"/>
        <v>41</v>
      </c>
    </row>
    <row r="129" spans="1:9" x14ac:dyDescent="0.25">
      <c r="A129" s="1" t="s">
        <v>17</v>
      </c>
      <c r="B129" s="1">
        <v>25</v>
      </c>
      <c r="C129" s="1">
        <v>617183700</v>
      </c>
      <c r="D129" s="1">
        <v>915308500</v>
      </c>
      <c r="E129" s="1">
        <f t="shared" si="10"/>
        <v>-298124800</v>
      </c>
      <c r="F129" s="1">
        <f t="shared" si="11"/>
        <v>298124800</v>
      </c>
      <c r="G129" s="1">
        <f t="shared" si="12"/>
        <v>36</v>
      </c>
      <c r="H129" s="1">
        <f t="shared" si="13"/>
        <v>0</v>
      </c>
      <c r="I129" s="1">
        <f t="shared" si="14"/>
        <v>36</v>
      </c>
    </row>
    <row r="130" spans="1:9" x14ac:dyDescent="0.25">
      <c r="A130" s="1" t="s">
        <v>17</v>
      </c>
      <c r="B130" s="1">
        <v>26</v>
      </c>
      <c r="C130" s="1">
        <v>619101300</v>
      </c>
      <c r="D130" s="1">
        <v>924722500</v>
      </c>
      <c r="E130" s="1">
        <f t="shared" si="10"/>
        <v>-305621200</v>
      </c>
      <c r="F130" s="1">
        <f t="shared" si="11"/>
        <v>305621200</v>
      </c>
      <c r="G130" s="1">
        <f t="shared" si="12"/>
        <v>75</v>
      </c>
      <c r="H130" s="1">
        <f t="shared" si="13"/>
        <v>0</v>
      </c>
      <c r="I130" s="1">
        <f t="shared" si="14"/>
        <v>75</v>
      </c>
    </row>
    <row r="131" spans="1:9" x14ac:dyDescent="0.25">
      <c r="A131" s="1" t="s">
        <v>17</v>
      </c>
      <c r="B131" s="1">
        <v>27</v>
      </c>
      <c r="C131" s="1">
        <v>615999800</v>
      </c>
      <c r="D131" s="1">
        <v>913606000</v>
      </c>
      <c r="E131" s="1">
        <f t="shared" si="10"/>
        <v>-297606200</v>
      </c>
      <c r="F131" s="1">
        <f t="shared" si="11"/>
        <v>297606200</v>
      </c>
      <c r="G131" s="1">
        <f t="shared" si="12"/>
        <v>32</v>
      </c>
      <c r="H131" s="1">
        <f t="shared" si="13"/>
        <v>0</v>
      </c>
      <c r="I131" s="1">
        <f t="shared" si="14"/>
        <v>32</v>
      </c>
    </row>
    <row r="132" spans="1:9" x14ac:dyDescent="0.25">
      <c r="A132" s="1" t="s">
        <v>17</v>
      </c>
      <c r="B132" s="1">
        <v>28</v>
      </c>
      <c r="C132" s="1">
        <v>617308700</v>
      </c>
      <c r="D132" s="1">
        <v>920993300</v>
      </c>
      <c r="E132" s="1">
        <f t="shared" si="10"/>
        <v>-303684600</v>
      </c>
      <c r="F132" s="1">
        <f t="shared" si="11"/>
        <v>303684600</v>
      </c>
      <c r="G132" s="1">
        <f t="shared" si="12"/>
        <v>64</v>
      </c>
      <c r="H132" s="1">
        <f t="shared" si="13"/>
        <v>0</v>
      </c>
      <c r="I132" s="1">
        <f t="shared" si="14"/>
        <v>64</v>
      </c>
    </row>
    <row r="133" spans="1:9" x14ac:dyDescent="0.25">
      <c r="A133" s="1" t="s">
        <v>17</v>
      </c>
      <c r="B133" s="1">
        <v>29</v>
      </c>
      <c r="C133" s="1">
        <v>617325600</v>
      </c>
      <c r="D133" s="1">
        <v>938526000</v>
      </c>
      <c r="E133" s="1">
        <f t="shared" si="10"/>
        <v>-321200400</v>
      </c>
      <c r="F133" s="1">
        <f t="shared" si="11"/>
        <v>321200400</v>
      </c>
      <c r="G133" s="1">
        <f t="shared" si="12"/>
        <v>96</v>
      </c>
      <c r="H133" s="1">
        <f t="shared" si="13"/>
        <v>0</v>
      </c>
      <c r="I133" s="1">
        <f t="shared" si="14"/>
        <v>96</v>
      </c>
    </row>
    <row r="134" spans="1:9" x14ac:dyDescent="0.25">
      <c r="A134" s="1" t="s">
        <v>17</v>
      </c>
      <c r="B134" s="1">
        <v>30</v>
      </c>
      <c r="C134" s="1">
        <v>652930801</v>
      </c>
      <c r="D134" s="1">
        <v>920004200</v>
      </c>
      <c r="E134" s="1">
        <f t="shared" si="10"/>
        <v>-267073399</v>
      </c>
      <c r="F134" s="1">
        <f t="shared" si="11"/>
        <v>267073399</v>
      </c>
      <c r="G134" s="1">
        <f t="shared" si="12"/>
        <v>4</v>
      </c>
      <c r="H134" s="1">
        <f t="shared" si="13"/>
        <v>0</v>
      </c>
      <c r="I134" s="1">
        <f t="shared" si="14"/>
        <v>4</v>
      </c>
    </row>
    <row r="135" spans="1:9" x14ac:dyDescent="0.25">
      <c r="A135" s="1" t="s">
        <v>17</v>
      </c>
      <c r="B135" s="1">
        <v>31</v>
      </c>
      <c r="C135" s="1">
        <v>616494899</v>
      </c>
      <c r="D135" s="1">
        <v>912960100</v>
      </c>
      <c r="E135" s="1">
        <f t="shared" si="10"/>
        <v>-296465201</v>
      </c>
      <c r="F135" s="1">
        <f t="shared" si="11"/>
        <v>296465201</v>
      </c>
      <c r="G135" s="1">
        <f t="shared" si="12"/>
        <v>27</v>
      </c>
      <c r="H135" s="1">
        <f t="shared" si="13"/>
        <v>0</v>
      </c>
      <c r="I135" s="1">
        <f t="shared" si="14"/>
        <v>27</v>
      </c>
    </row>
    <row r="136" spans="1:9" x14ac:dyDescent="0.25">
      <c r="A136" s="1" t="s">
        <v>17</v>
      </c>
      <c r="B136" s="1">
        <v>32</v>
      </c>
      <c r="C136" s="1">
        <v>615526401</v>
      </c>
      <c r="D136" s="1">
        <v>927187500</v>
      </c>
      <c r="E136" s="1">
        <f t="shared" si="10"/>
        <v>-311661099</v>
      </c>
      <c r="F136" s="1">
        <f t="shared" si="11"/>
        <v>311661099</v>
      </c>
      <c r="G136" s="1">
        <f t="shared" si="12"/>
        <v>92</v>
      </c>
      <c r="H136" s="1">
        <f t="shared" si="13"/>
        <v>0</v>
      </c>
      <c r="I136" s="1">
        <f t="shared" si="14"/>
        <v>92</v>
      </c>
    </row>
    <row r="137" spans="1:9" x14ac:dyDescent="0.25">
      <c r="A137" s="1" t="s">
        <v>17</v>
      </c>
      <c r="B137" s="1">
        <v>33</v>
      </c>
      <c r="C137" s="1">
        <v>616833400</v>
      </c>
      <c r="D137" s="1">
        <v>920961500</v>
      </c>
      <c r="E137" s="1">
        <f t="shared" si="10"/>
        <v>-304128100</v>
      </c>
      <c r="F137" s="1">
        <f t="shared" si="11"/>
        <v>304128100</v>
      </c>
      <c r="G137" s="1">
        <f t="shared" si="12"/>
        <v>66</v>
      </c>
      <c r="H137" s="1">
        <f t="shared" si="13"/>
        <v>0</v>
      </c>
      <c r="I137" s="1">
        <f t="shared" si="14"/>
        <v>66</v>
      </c>
    </row>
    <row r="138" spans="1:9" x14ac:dyDescent="0.25">
      <c r="A138" s="1" t="s">
        <v>17</v>
      </c>
      <c r="B138" s="1">
        <v>34</v>
      </c>
      <c r="C138" s="1">
        <v>619586800</v>
      </c>
      <c r="D138" s="1">
        <v>921215300</v>
      </c>
      <c r="E138" s="1">
        <f t="shared" si="10"/>
        <v>-301628500</v>
      </c>
      <c r="F138" s="1">
        <f t="shared" si="11"/>
        <v>301628500</v>
      </c>
      <c r="G138" s="1">
        <f t="shared" si="12"/>
        <v>55</v>
      </c>
      <c r="H138" s="1">
        <f t="shared" si="13"/>
        <v>0</v>
      </c>
      <c r="I138" s="1">
        <f t="shared" si="14"/>
        <v>55</v>
      </c>
    </row>
    <row r="139" spans="1:9" x14ac:dyDescent="0.25">
      <c r="A139" s="1" t="s">
        <v>17</v>
      </c>
      <c r="B139" s="1">
        <v>35</v>
      </c>
      <c r="C139" s="1">
        <v>619258501</v>
      </c>
      <c r="D139" s="1">
        <v>912696500</v>
      </c>
      <c r="E139" s="1">
        <f t="shared" si="10"/>
        <v>-293437999</v>
      </c>
      <c r="F139" s="1">
        <f t="shared" si="11"/>
        <v>293437999</v>
      </c>
      <c r="G139" s="1">
        <f t="shared" si="12"/>
        <v>21</v>
      </c>
      <c r="H139" s="1">
        <f t="shared" si="13"/>
        <v>0</v>
      </c>
      <c r="I139" s="1">
        <f t="shared" si="14"/>
        <v>21</v>
      </c>
    </row>
    <row r="140" spans="1:9" x14ac:dyDescent="0.25">
      <c r="A140" s="1" t="s">
        <v>17</v>
      </c>
      <c r="B140" s="1">
        <v>36</v>
      </c>
      <c r="C140" s="1">
        <v>616244999</v>
      </c>
      <c r="D140" s="1">
        <v>915395500</v>
      </c>
      <c r="E140" s="1">
        <f t="shared" si="10"/>
        <v>-299150501</v>
      </c>
      <c r="F140" s="1">
        <f t="shared" si="11"/>
        <v>299150501</v>
      </c>
      <c r="G140" s="1">
        <f t="shared" si="12"/>
        <v>42</v>
      </c>
      <c r="H140" s="1">
        <f t="shared" si="13"/>
        <v>0</v>
      </c>
      <c r="I140" s="1">
        <f t="shared" si="14"/>
        <v>42</v>
      </c>
    </row>
    <row r="141" spans="1:9" x14ac:dyDescent="0.25">
      <c r="A141" s="1" t="s">
        <v>17</v>
      </c>
      <c r="B141" s="1">
        <v>37</v>
      </c>
      <c r="C141" s="1">
        <v>616390199</v>
      </c>
      <c r="D141" s="1">
        <v>918114900</v>
      </c>
      <c r="E141" s="1">
        <f t="shared" si="10"/>
        <v>-301724701</v>
      </c>
      <c r="F141" s="1">
        <f t="shared" si="11"/>
        <v>301724701</v>
      </c>
      <c r="G141" s="1">
        <f t="shared" si="12"/>
        <v>57</v>
      </c>
      <c r="H141" s="1">
        <f t="shared" si="13"/>
        <v>0</v>
      </c>
      <c r="I141" s="1">
        <f t="shared" si="14"/>
        <v>57</v>
      </c>
    </row>
    <row r="142" spans="1:9" x14ac:dyDescent="0.25">
      <c r="A142" s="1" t="s">
        <v>17</v>
      </c>
      <c r="B142" s="1">
        <v>38</v>
      </c>
      <c r="C142" s="1">
        <v>616949600</v>
      </c>
      <c r="D142" s="1">
        <v>933675500</v>
      </c>
      <c r="E142" s="1">
        <f t="shared" si="10"/>
        <v>-316725900</v>
      </c>
      <c r="F142" s="1">
        <f t="shared" si="11"/>
        <v>316725900</v>
      </c>
      <c r="G142" s="1">
        <f t="shared" si="12"/>
        <v>95</v>
      </c>
      <c r="H142" s="1">
        <f t="shared" si="13"/>
        <v>0</v>
      </c>
      <c r="I142" s="1">
        <f t="shared" si="14"/>
        <v>95</v>
      </c>
    </row>
    <row r="143" spans="1:9" x14ac:dyDescent="0.25">
      <c r="A143" s="1" t="s">
        <v>17</v>
      </c>
      <c r="B143" s="1">
        <v>39</v>
      </c>
      <c r="C143" s="1">
        <v>616587000</v>
      </c>
      <c r="D143" s="1">
        <v>921505800</v>
      </c>
      <c r="E143" s="1">
        <f t="shared" si="10"/>
        <v>-304918800</v>
      </c>
      <c r="F143" s="1">
        <f t="shared" si="11"/>
        <v>304918800</v>
      </c>
      <c r="G143" s="1">
        <f t="shared" si="12"/>
        <v>71</v>
      </c>
      <c r="H143" s="1">
        <f t="shared" si="13"/>
        <v>0</v>
      </c>
      <c r="I143" s="1">
        <f t="shared" si="14"/>
        <v>71</v>
      </c>
    </row>
    <row r="144" spans="1:9" x14ac:dyDescent="0.25">
      <c r="A144" s="1" t="s">
        <v>17</v>
      </c>
      <c r="B144" s="1">
        <v>40</v>
      </c>
      <c r="C144" s="1">
        <v>616220700</v>
      </c>
      <c r="D144" s="1">
        <v>915992500</v>
      </c>
      <c r="E144" s="1">
        <f t="shared" si="10"/>
        <v>-299771800</v>
      </c>
      <c r="F144" s="1">
        <f t="shared" si="11"/>
        <v>299771800</v>
      </c>
      <c r="G144" s="1">
        <f t="shared" si="12"/>
        <v>48</v>
      </c>
      <c r="H144" s="1">
        <f t="shared" si="13"/>
        <v>0</v>
      </c>
      <c r="I144" s="1">
        <f t="shared" si="14"/>
        <v>48</v>
      </c>
    </row>
    <row r="145" spans="1:9" x14ac:dyDescent="0.25">
      <c r="A145" s="1" t="s">
        <v>17</v>
      </c>
      <c r="B145" s="1">
        <v>41</v>
      </c>
      <c r="C145" s="1">
        <v>615904300</v>
      </c>
      <c r="D145" s="1">
        <v>925134700</v>
      </c>
      <c r="E145" s="1">
        <f t="shared" si="10"/>
        <v>-309230400</v>
      </c>
      <c r="F145" s="1">
        <f t="shared" si="11"/>
        <v>309230400</v>
      </c>
      <c r="G145" s="1">
        <f t="shared" si="12"/>
        <v>88</v>
      </c>
      <c r="H145" s="1">
        <f t="shared" si="13"/>
        <v>0</v>
      </c>
      <c r="I145" s="1">
        <f t="shared" si="14"/>
        <v>88</v>
      </c>
    </row>
    <row r="146" spans="1:9" x14ac:dyDescent="0.25">
      <c r="A146" s="1" t="s">
        <v>17</v>
      </c>
      <c r="B146" s="1">
        <v>42</v>
      </c>
      <c r="C146" s="1">
        <v>629391701</v>
      </c>
      <c r="D146" s="1">
        <v>917588300</v>
      </c>
      <c r="E146" s="1">
        <f t="shared" si="10"/>
        <v>-288196599</v>
      </c>
      <c r="F146" s="1">
        <f t="shared" si="11"/>
        <v>288196599</v>
      </c>
      <c r="G146" s="1">
        <f t="shared" si="12"/>
        <v>11</v>
      </c>
      <c r="H146" s="1">
        <f t="shared" si="13"/>
        <v>0</v>
      </c>
      <c r="I146" s="1">
        <f t="shared" si="14"/>
        <v>11</v>
      </c>
    </row>
    <row r="147" spans="1:9" x14ac:dyDescent="0.25">
      <c r="A147" s="1" t="s">
        <v>17</v>
      </c>
      <c r="B147" s="1">
        <v>43</v>
      </c>
      <c r="C147" s="1">
        <v>626795200</v>
      </c>
      <c r="D147" s="1">
        <v>921404100</v>
      </c>
      <c r="E147" s="1">
        <f t="shared" si="10"/>
        <v>-294608900</v>
      </c>
      <c r="F147" s="1">
        <f t="shared" si="11"/>
        <v>294608900</v>
      </c>
      <c r="G147" s="1">
        <f t="shared" si="12"/>
        <v>25</v>
      </c>
      <c r="H147" s="1">
        <f t="shared" si="13"/>
        <v>0</v>
      </c>
      <c r="I147" s="1">
        <f t="shared" si="14"/>
        <v>25</v>
      </c>
    </row>
    <row r="148" spans="1:9" x14ac:dyDescent="0.25">
      <c r="A148" s="1" t="s">
        <v>17</v>
      </c>
      <c r="B148" s="1">
        <v>44</v>
      </c>
      <c r="C148" s="1">
        <v>627509200</v>
      </c>
      <c r="D148" s="1">
        <v>913466700</v>
      </c>
      <c r="E148" s="1">
        <f t="shared" si="10"/>
        <v>-285957500</v>
      </c>
      <c r="F148" s="1">
        <f t="shared" si="11"/>
        <v>285957500</v>
      </c>
      <c r="G148" s="1">
        <f t="shared" si="12"/>
        <v>8</v>
      </c>
      <c r="H148" s="1">
        <f t="shared" si="13"/>
        <v>0</v>
      </c>
      <c r="I148" s="1">
        <f t="shared" si="14"/>
        <v>8</v>
      </c>
    </row>
    <row r="149" spans="1:9" x14ac:dyDescent="0.25">
      <c r="A149" s="1" t="s">
        <v>17</v>
      </c>
      <c r="B149" s="1">
        <v>45</v>
      </c>
      <c r="C149" s="1">
        <v>618700300</v>
      </c>
      <c r="D149" s="1">
        <v>919274600</v>
      </c>
      <c r="E149" s="1">
        <f t="shared" si="10"/>
        <v>-300574300</v>
      </c>
      <c r="F149" s="1">
        <f t="shared" si="11"/>
        <v>300574300</v>
      </c>
      <c r="G149" s="1">
        <f t="shared" si="12"/>
        <v>50</v>
      </c>
      <c r="H149" s="1">
        <f t="shared" si="13"/>
        <v>0</v>
      </c>
      <c r="I149" s="1">
        <f t="shared" si="14"/>
        <v>50</v>
      </c>
    </row>
    <row r="150" spans="1:9" x14ac:dyDescent="0.25">
      <c r="A150" s="1" t="s">
        <v>17</v>
      </c>
      <c r="B150" s="1">
        <v>46</v>
      </c>
      <c r="C150" s="1">
        <v>623662399</v>
      </c>
      <c r="D150" s="1">
        <v>935049000</v>
      </c>
      <c r="E150" s="1">
        <f t="shared" si="10"/>
        <v>-311386601</v>
      </c>
      <c r="F150" s="1">
        <f t="shared" si="11"/>
        <v>311386601</v>
      </c>
      <c r="G150" s="1">
        <f t="shared" si="12"/>
        <v>91</v>
      </c>
      <c r="H150" s="1">
        <f t="shared" si="13"/>
        <v>0</v>
      </c>
      <c r="I150" s="1">
        <f t="shared" si="14"/>
        <v>91</v>
      </c>
    </row>
    <row r="151" spans="1:9" x14ac:dyDescent="0.25">
      <c r="A151" s="1" t="s">
        <v>17</v>
      </c>
      <c r="B151" s="1">
        <v>47</v>
      </c>
      <c r="C151" s="1">
        <v>620289700</v>
      </c>
      <c r="D151" s="1">
        <v>914439400</v>
      </c>
      <c r="E151" s="1">
        <f t="shared" si="10"/>
        <v>-294149700</v>
      </c>
      <c r="F151" s="1">
        <f t="shared" si="11"/>
        <v>294149700</v>
      </c>
      <c r="G151" s="1">
        <f t="shared" si="12"/>
        <v>24</v>
      </c>
      <c r="H151" s="1">
        <f t="shared" si="13"/>
        <v>0</v>
      </c>
      <c r="I151" s="1">
        <f t="shared" si="14"/>
        <v>24</v>
      </c>
    </row>
    <row r="152" spans="1:9" x14ac:dyDescent="0.25">
      <c r="A152" s="1" t="s">
        <v>17</v>
      </c>
      <c r="B152" s="1">
        <v>48</v>
      </c>
      <c r="C152" s="1">
        <v>616183701</v>
      </c>
      <c r="D152" s="1">
        <v>938958400</v>
      </c>
      <c r="E152" s="1">
        <f t="shared" si="10"/>
        <v>-322774699</v>
      </c>
      <c r="F152" s="1">
        <f t="shared" si="11"/>
        <v>322774699</v>
      </c>
      <c r="G152" s="1">
        <f t="shared" si="12"/>
        <v>97</v>
      </c>
      <c r="H152" s="1">
        <f t="shared" si="13"/>
        <v>0</v>
      </c>
      <c r="I152" s="1">
        <f t="shared" si="14"/>
        <v>97</v>
      </c>
    </row>
    <row r="153" spans="1:9" x14ac:dyDescent="0.25">
      <c r="A153" s="1" t="s">
        <v>17</v>
      </c>
      <c r="B153" s="1">
        <v>49</v>
      </c>
      <c r="C153" s="1">
        <v>616599300</v>
      </c>
      <c r="D153" s="1">
        <v>913482100</v>
      </c>
      <c r="E153" s="1">
        <f t="shared" si="10"/>
        <v>-296882800</v>
      </c>
      <c r="F153" s="1">
        <f t="shared" si="11"/>
        <v>296882800</v>
      </c>
      <c r="G153" s="1">
        <f t="shared" si="12"/>
        <v>29</v>
      </c>
      <c r="H153" s="1">
        <f t="shared" si="13"/>
        <v>0</v>
      </c>
      <c r="I153" s="1">
        <f t="shared" si="14"/>
        <v>29</v>
      </c>
    </row>
    <row r="154" spans="1:9" x14ac:dyDescent="0.25">
      <c r="A154" s="1" t="s">
        <v>17</v>
      </c>
      <c r="B154" s="1">
        <v>50</v>
      </c>
      <c r="C154" s="1">
        <v>617694201</v>
      </c>
      <c r="D154" s="1">
        <v>920116600</v>
      </c>
      <c r="E154" s="1">
        <f t="shared" si="10"/>
        <v>-302422399</v>
      </c>
      <c r="F154" s="1">
        <f t="shared" si="11"/>
        <v>302422399</v>
      </c>
      <c r="G154" s="1">
        <f t="shared" si="12"/>
        <v>59</v>
      </c>
      <c r="H154" s="1">
        <f t="shared" si="13"/>
        <v>0</v>
      </c>
      <c r="I154" s="1">
        <f t="shared" si="14"/>
        <v>59</v>
      </c>
    </row>
    <row r="155" spans="1:9" x14ac:dyDescent="0.25">
      <c r="A155" s="1" t="s">
        <v>17</v>
      </c>
      <c r="B155" s="1">
        <v>51</v>
      </c>
      <c r="C155" s="1">
        <v>622058700</v>
      </c>
      <c r="D155" s="1">
        <v>921325400</v>
      </c>
      <c r="E155" s="1">
        <f t="shared" si="10"/>
        <v>-299266700</v>
      </c>
      <c r="F155" s="1">
        <f t="shared" si="11"/>
        <v>299266700</v>
      </c>
      <c r="G155" s="1">
        <f t="shared" si="12"/>
        <v>43</v>
      </c>
      <c r="H155" s="1">
        <f t="shared" si="13"/>
        <v>0</v>
      </c>
      <c r="I155" s="1">
        <f t="shared" si="14"/>
        <v>43</v>
      </c>
    </row>
    <row r="156" spans="1:9" x14ac:dyDescent="0.25">
      <c r="A156" s="1" t="s">
        <v>17</v>
      </c>
      <c r="B156" s="1">
        <v>52</v>
      </c>
      <c r="C156" s="1">
        <v>615666599</v>
      </c>
      <c r="D156" s="1">
        <v>918847700</v>
      </c>
      <c r="E156" s="1">
        <f t="shared" si="10"/>
        <v>-303181101</v>
      </c>
      <c r="F156" s="1">
        <f t="shared" si="11"/>
        <v>303181101</v>
      </c>
      <c r="G156" s="1">
        <f t="shared" si="12"/>
        <v>62</v>
      </c>
      <c r="H156" s="1">
        <f t="shared" si="13"/>
        <v>0</v>
      </c>
      <c r="I156" s="1">
        <f t="shared" si="14"/>
        <v>62</v>
      </c>
    </row>
    <row r="157" spans="1:9" x14ac:dyDescent="0.25">
      <c r="A157" s="1" t="s">
        <v>17</v>
      </c>
      <c r="B157" s="1">
        <v>53</v>
      </c>
      <c r="C157" s="1">
        <v>616149100</v>
      </c>
      <c r="D157" s="1">
        <v>915453200</v>
      </c>
      <c r="E157" s="1">
        <f t="shared" si="10"/>
        <v>-299304100</v>
      </c>
      <c r="F157" s="1">
        <f t="shared" si="11"/>
        <v>299304100</v>
      </c>
      <c r="G157" s="1">
        <f t="shared" si="12"/>
        <v>44</v>
      </c>
      <c r="H157" s="1">
        <f t="shared" si="13"/>
        <v>0</v>
      </c>
      <c r="I157" s="1">
        <f t="shared" si="14"/>
        <v>44</v>
      </c>
    </row>
    <row r="158" spans="1:9" x14ac:dyDescent="0.25">
      <c r="A158" s="1" t="s">
        <v>17</v>
      </c>
      <c r="B158" s="1">
        <v>54</v>
      </c>
      <c r="C158" s="1">
        <v>617036100</v>
      </c>
      <c r="D158" s="1">
        <v>928102300</v>
      </c>
      <c r="E158" s="1">
        <f t="shared" si="10"/>
        <v>-311066200</v>
      </c>
      <c r="F158" s="1">
        <f t="shared" si="11"/>
        <v>311066200</v>
      </c>
      <c r="G158" s="1">
        <f t="shared" si="12"/>
        <v>90</v>
      </c>
      <c r="H158" s="1">
        <f t="shared" si="13"/>
        <v>0</v>
      </c>
      <c r="I158" s="1">
        <f t="shared" si="14"/>
        <v>90</v>
      </c>
    </row>
    <row r="159" spans="1:9" x14ac:dyDescent="0.25">
      <c r="A159" s="1" t="s">
        <v>17</v>
      </c>
      <c r="B159" s="1">
        <v>55</v>
      </c>
      <c r="C159" s="1">
        <v>616537001</v>
      </c>
      <c r="D159" s="1">
        <v>915004100</v>
      </c>
      <c r="E159" s="1">
        <f t="shared" si="10"/>
        <v>-298467099</v>
      </c>
      <c r="F159" s="1">
        <f t="shared" si="11"/>
        <v>298467099</v>
      </c>
      <c r="G159" s="1">
        <f t="shared" si="12"/>
        <v>37</v>
      </c>
      <c r="H159" s="1">
        <f t="shared" si="13"/>
        <v>0</v>
      </c>
      <c r="I159" s="1">
        <f t="shared" si="14"/>
        <v>37</v>
      </c>
    </row>
    <row r="160" spans="1:9" x14ac:dyDescent="0.25">
      <c r="A160" s="1" t="s">
        <v>17</v>
      </c>
      <c r="B160" s="1">
        <v>56</v>
      </c>
      <c r="C160" s="1">
        <v>615646000</v>
      </c>
      <c r="D160" s="1">
        <v>921523700</v>
      </c>
      <c r="E160" s="1">
        <f t="shared" si="10"/>
        <v>-305877700</v>
      </c>
      <c r="F160" s="1">
        <f t="shared" si="11"/>
        <v>305877700</v>
      </c>
      <c r="G160" s="1">
        <f t="shared" si="12"/>
        <v>77</v>
      </c>
      <c r="H160" s="1">
        <f t="shared" si="13"/>
        <v>0</v>
      </c>
      <c r="I160" s="1">
        <f t="shared" si="14"/>
        <v>77</v>
      </c>
    </row>
    <row r="161" spans="1:9" x14ac:dyDescent="0.25">
      <c r="A161" s="1" t="s">
        <v>17</v>
      </c>
      <c r="B161" s="1">
        <v>57</v>
      </c>
      <c r="C161" s="1">
        <v>615293599</v>
      </c>
      <c r="D161" s="1">
        <v>919500400</v>
      </c>
      <c r="E161" s="1">
        <f t="shared" si="10"/>
        <v>-304206801</v>
      </c>
      <c r="F161" s="1">
        <f t="shared" si="11"/>
        <v>304206801</v>
      </c>
      <c r="G161" s="1">
        <f t="shared" si="12"/>
        <v>67</v>
      </c>
      <c r="H161" s="1">
        <f t="shared" si="13"/>
        <v>0</v>
      </c>
      <c r="I161" s="1">
        <f t="shared" si="14"/>
        <v>67</v>
      </c>
    </row>
    <row r="162" spans="1:9" x14ac:dyDescent="0.25">
      <c r="A162" s="1" t="s">
        <v>17</v>
      </c>
      <c r="B162" s="1">
        <v>58</v>
      </c>
      <c r="C162" s="1">
        <v>616520900</v>
      </c>
      <c r="D162" s="1">
        <v>946121900</v>
      </c>
      <c r="E162" s="1">
        <f t="shared" si="10"/>
        <v>-329601000</v>
      </c>
      <c r="F162" s="1">
        <f t="shared" si="11"/>
        <v>329601000</v>
      </c>
      <c r="G162" s="1">
        <f t="shared" si="12"/>
        <v>99</v>
      </c>
      <c r="H162" s="1">
        <f t="shared" si="13"/>
        <v>0</v>
      </c>
      <c r="I162" s="1">
        <f t="shared" si="14"/>
        <v>99</v>
      </c>
    </row>
    <row r="163" spans="1:9" x14ac:dyDescent="0.25">
      <c r="A163" s="1" t="s">
        <v>17</v>
      </c>
      <c r="B163" s="1">
        <v>59</v>
      </c>
      <c r="C163" s="1">
        <v>621800999</v>
      </c>
      <c r="D163" s="1">
        <v>922911800</v>
      </c>
      <c r="E163" s="1">
        <f t="shared" si="10"/>
        <v>-301110801</v>
      </c>
      <c r="F163" s="1">
        <f t="shared" si="11"/>
        <v>301110801</v>
      </c>
      <c r="G163" s="1">
        <f t="shared" si="12"/>
        <v>52</v>
      </c>
      <c r="H163" s="1">
        <f t="shared" si="13"/>
        <v>0</v>
      </c>
      <c r="I163" s="1">
        <f t="shared" si="14"/>
        <v>52</v>
      </c>
    </row>
    <row r="164" spans="1:9" x14ac:dyDescent="0.25">
      <c r="A164" s="1" t="s">
        <v>17</v>
      </c>
      <c r="B164" s="1">
        <v>60</v>
      </c>
      <c r="C164" s="1">
        <v>619354100</v>
      </c>
      <c r="D164" s="1">
        <v>963935100</v>
      </c>
      <c r="E164" s="1">
        <f t="shared" si="10"/>
        <v>-344581000</v>
      </c>
      <c r="F164" s="1">
        <f t="shared" si="11"/>
        <v>344581000</v>
      </c>
      <c r="G164" s="1">
        <f t="shared" si="12"/>
        <v>100</v>
      </c>
      <c r="H164" s="1">
        <f t="shared" si="13"/>
        <v>0</v>
      </c>
      <c r="I164" s="1">
        <f t="shared" si="14"/>
        <v>100</v>
      </c>
    </row>
    <row r="165" spans="1:9" x14ac:dyDescent="0.25">
      <c r="A165" s="1" t="s">
        <v>17</v>
      </c>
      <c r="B165" s="1">
        <v>61</v>
      </c>
      <c r="C165" s="1">
        <v>615597100</v>
      </c>
      <c r="D165" s="1">
        <v>930764700</v>
      </c>
      <c r="E165" s="1">
        <f t="shared" si="10"/>
        <v>-315167600</v>
      </c>
      <c r="F165" s="1">
        <f t="shared" si="11"/>
        <v>315167600</v>
      </c>
      <c r="G165" s="1">
        <f t="shared" si="12"/>
        <v>93</v>
      </c>
      <c r="H165" s="1">
        <f t="shared" si="13"/>
        <v>0</v>
      </c>
      <c r="I165" s="1">
        <f t="shared" si="14"/>
        <v>93</v>
      </c>
    </row>
    <row r="166" spans="1:9" x14ac:dyDescent="0.25">
      <c r="A166" s="1" t="s">
        <v>17</v>
      </c>
      <c r="B166" s="1">
        <v>62</v>
      </c>
      <c r="C166" s="1">
        <v>615428000</v>
      </c>
      <c r="D166" s="1">
        <v>914965600</v>
      </c>
      <c r="E166" s="1">
        <f t="shared" si="10"/>
        <v>-299537600</v>
      </c>
      <c r="F166" s="1">
        <f t="shared" si="11"/>
        <v>299537600</v>
      </c>
      <c r="G166" s="1">
        <f t="shared" si="12"/>
        <v>46</v>
      </c>
      <c r="H166" s="1">
        <f t="shared" si="13"/>
        <v>0</v>
      </c>
      <c r="I166" s="1">
        <f t="shared" si="14"/>
        <v>46</v>
      </c>
    </row>
    <row r="167" spans="1:9" x14ac:dyDescent="0.25">
      <c r="A167" s="1" t="s">
        <v>17</v>
      </c>
      <c r="B167" s="1">
        <v>63</v>
      </c>
      <c r="C167" s="1">
        <v>615956701</v>
      </c>
      <c r="D167" s="1">
        <v>921159700</v>
      </c>
      <c r="E167" s="1">
        <f t="shared" si="10"/>
        <v>-305202999</v>
      </c>
      <c r="F167" s="1">
        <f t="shared" si="11"/>
        <v>305202999</v>
      </c>
      <c r="G167" s="1">
        <f t="shared" si="12"/>
        <v>72</v>
      </c>
      <c r="H167" s="1">
        <f t="shared" si="13"/>
        <v>0</v>
      </c>
      <c r="I167" s="1">
        <f t="shared" si="14"/>
        <v>72</v>
      </c>
    </row>
    <row r="168" spans="1:9" x14ac:dyDescent="0.25">
      <c r="A168" s="1" t="s">
        <v>17</v>
      </c>
      <c r="B168" s="1">
        <v>64</v>
      </c>
      <c r="C168" s="1">
        <v>618081601</v>
      </c>
      <c r="D168" s="1">
        <v>917429900</v>
      </c>
      <c r="E168" s="1">
        <f t="shared" si="10"/>
        <v>-299348299</v>
      </c>
      <c r="F168" s="1">
        <f t="shared" si="11"/>
        <v>299348299</v>
      </c>
      <c r="G168" s="1">
        <f t="shared" si="12"/>
        <v>45</v>
      </c>
      <c r="H168" s="1">
        <f t="shared" si="13"/>
        <v>0</v>
      </c>
      <c r="I168" s="1">
        <f t="shared" si="14"/>
        <v>45</v>
      </c>
    </row>
    <row r="169" spans="1:9" x14ac:dyDescent="0.25">
      <c r="A169" s="1" t="s">
        <v>17</v>
      </c>
      <c r="B169" s="1">
        <v>65</v>
      </c>
      <c r="C169" s="1">
        <v>615903900</v>
      </c>
      <c r="D169" s="1">
        <v>917618300</v>
      </c>
      <c r="E169" s="1">
        <f t="shared" si="10"/>
        <v>-301714400</v>
      </c>
      <c r="F169" s="1">
        <f t="shared" si="11"/>
        <v>301714400</v>
      </c>
      <c r="G169" s="1">
        <f t="shared" si="12"/>
        <v>56</v>
      </c>
      <c r="H169" s="1">
        <f t="shared" si="13"/>
        <v>0</v>
      </c>
      <c r="I169" s="1">
        <f t="shared" si="14"/>
        <v>56</v>
      </c>
    </row>
    <row r="170" spans="1:9" x14ac:dyDescent="0.25">
      <c r="A170" s="1" t="s">
        <v>17</v>
      </c>
      <c r="B170" s="1">
        <v>66</v>
      </c>
      <c r="C170" s="1">
        <v>615458201</v>
      </c>
      <c r="D170" s="1">
        <v>917905900</v>
      </c>
      <c r="E170" s="1">
        <f t="shared" ref="E170:E204" si="15">C170-D170</f>
        <v>-302447699</v>
      </c>
      <c r="F170" s="1">
        <f t="shared" ref="F170:F204" si="16">ABS(E170)</f>
        <v>302447699</v>
      </c>
      <c r="G170" s="1">
        <f t="shared" ref="G170:G204" si="17">_xlfn.RANK.AVG(F170,$F$105:$F$204,1)</f>
        <v>60</v>
      </c>
      <c r="H170" s="1">
        <f t="shared" ref="H170:H204" si="18">IF(E170&gt;0,G170,0)</f>
        <v>0</v>
      </c>
      <c r="I170" s="1">
        <f t="shared" ref="I170:I204" si="19">IF(E170&lt;0,G170,0)</f>
        <v>60</v>
      </c>
    </row>
    <row r="171" spans="1:9" x14ac:dyDescent="0.25">
      <c r="A171" s="1" t="s">
        <v>17</v>
      </c>
      <c r="B171" s="1">
        <v>67</v>
      </c>
      <c r="C171" s="1">
        <v>626416501</v>
      </c>
      <c r="D171" s="1">
        <v>934541700</v>
      </c>
      <c r="E171" s="1">
        <f t="shared" si="15"/>
        <v>-308125199</v>
      </c>
      <c r="F171" s="1">
        <f t="shared" si="16"/>
        <v>308125199</v>
      </c>
      <c r="G171" s="1">
        <f t="shared" si="17"/>
        <v>87</v>
      </c>
      <c r="H171" s="1">
        <f t="shared" si="18"/>
        <v>0</v>
      </c>
      <c r="I171" s="1">
        <f t="shared" si="19"/>
        <v>87</v>
      </c>
    </row>
    <row r="172" spans="1:9" x14ac:dyDescent="0.25">
      <c r="A172" s="1" t="s">
        <v>17</v>
      </c>
      <c r="B172" s="1">
        <v>68</v>
      </c>
      <c r="C172" s="1">
        <v>624509301</v>
      </c>
      <c r="D172" s="1">
        <v>932588600</v>
      </c>
      <c r="E172" s="1">
        <f t="shared" si="15"/>
        <v>-308079299</v>
      </c>
      <c r="F172" s="1">
        <f t="shared" si="16"/>
        <v>308079299</v>
      </c>
      <c r="G172" s="1">
        <f t="shared" si="17"/>
        <v>86</v>
      </c>
      <c r="H172" s="1">
        <f t="shared" si="18"/>
        <v>0</v>
      </c>
      <c r="I172" s="1">
        <f t="shared" si="19"/>
        <v>86</v>
      </c>
    </row>
    <row r="173" spans="1:9" x14ac:dyDescent="0.25">
      <c r="A173" s="1" t="s">
        <v>17</v>
      </c>
      <c r="B173" s="1">
        <v>69</v>
      </c>
      <c r="C173" s="1">
        <v>630765301</v>
      </c>
      <c r="D173" s="1">
        <v>920709900</v>
      </c>
      <c r="E173" s="1">
        <f t="shared" si="15"/>
        <v>-289944599</v>
      </c>
      <c r="F173" s="1">
        <f t="shared" si="16"/>
        <v>289944599</v>
      </c>
      <c r="G173" s="1">
        <f t="shared" si="17"/>
        <v>14</v>
      </c>
      <c r="H173" s="1">
        <f t="shared" si="18"/>
        <v>0</v>
      </c>
      <c r="I173" s="1">
        <f t="shared" si="19"/>
        <v>14</v>
      </c>
    </row>
    <row r="174" spans="1:9" x14ac:dyDescent="0.25">
      <c r="A174" s="1" t="s">
        <v>17</v>
      </c>
      <c r="B174" s="1">
        <v>70</v>
      </c>
      <c r="C174" s="1">
        <v>621643901</v>
      </c>
      <c r="D174" s="1">
        <v>924734600</v>
      </c>
      <c r="E174" s="1">
        <f t="shared" si="15"/>
        <v>-303090699</v>
      </c>
      <c r="F174" s="1">
        <f t="shared" si="16"/>
        <v>303090699</v>
      </c>
      <c r="G174" s="1">
        <f t="shared" si="17"/>
        <v>61</v>
      </c>
      <c r="H174" s="1">
        <f t="shared" si="18"/>
        <v>0</v>
      </c>
      <c r="I174" s="1">
        <f t="shared" si="19"/>
        <v>61</v>
      </c>
    </row>
    <row r="175" spans="1:9" x14ac:dyDescent="0.25">
      <c r="A175" s="1" t="s">
        <v>17</v>
      </c>
      <c r="B175" s="1">
        <v>71</v>
      </c>
      <c r="C175" s="1">
        <v>625094099</v>
      </c>
      <c r="D175" s="1">
        <v>915393700</v>
      </c>
      <c r="E175" s="1">
        <f t="shared" si="15"/>
        <v>-290299601</v>
      </c>
      <c r="F175" s="1">
        <f t="shared" si="16"/>
        <v>290299601</v>
      </c>
      <c r="G175" s="1">
        <f t="shared" si="17"/>
        <v>15</v>
      </c>
      <c r="H175" s="1">
        <f t="shared" si="18"/>
        <v>0</v>
      </c>
      <c r="I175" s="1">
        <f t="shared" si="19"/>
        <v>15</v>
      </c>
    </row>
    <row r="176" spans="1:9" x14ac:dyDescent="0.25">
      <c r="A176" s="1" t="s">
        <v>17</v>
      </c>
      <c r="B176" s="1">
        <v>72</v>
      </c>
      <c r="C176" s="1">
        <v>622496400</v>
      </c>
      <c r="D176" s="1">
        <v>921024300</v>
      </c>
      <c r="E176" s="1">
        <f t="shared" si="15"/>
        <v>-298527900</v>
      </c>
      <c r="F176" s="1">
        <f t="shared" si="16"/>
        <v>298527900</v>
      </c>
      <c r="G176" s="1">
        <f t="shared" si="17"/>
        <v>39</v>
      </c>
      <c r="H176" s="1">
        <f t="shared" si="18"/>
        <v>0</v>
      </c>
      <c r="I176" s="1">
        <f t="shared" si="19"/>
        <v>39</v>
      </c>
    </row>
    <row r="177" spans="1:9" x14ac:dyDescent="0.25">
      <c r="A177" s="1" t="s">
        <v>17</v>
      </c>
      <c r="B177" s="1">
        <v>73</v>
      </c>
      <c r="C177" s="1">
        <v>623842600</v>
      </c>
      <c r="D177" s="1">
        <v>921463500</v>
      </c>
      <c r="E177" s="1">
        <f t="shared" si="15"/>
        <v>-297620900</v>
      </c>
      <c r="F177" s="1">
        <f t="shared" si="16"/>
        <v>297620900</v>
      </c>
      <c r="G177" s="1">
        <f t="shared" si="17"/>
        <v>33</v>
      </c>
      <c r="H177" s="1">
        <f t="shared" si="18"/>
        <v>0</v>
      </c>
      <c r="I177" s="1">
        <f t="shared" si="19"/>
        <v>33</v>
      </c>
    </row>
    <row r="178" spans="1:9" x14ac:dyDescent="0.25">
      <c r="A178" s="1" t="s">
        <v>17</v>
      </c>
      <c r="B178" s="1">
        <v>74</v>
      </c>
      <c r="C178" s="1">
        <v>628261900</v>
      </c>
      <c r="D178" s="1">
        <v>914363200</v>
      </c>
      <c r="E178" s="1">
        <f t="shared" si="15"/>
        <v>-286101300</v>
      </c>
      <c r="F178" s="1">
        <f t="shared" si="16"/>
        <v>286101300</v>
      </c>
      <c r="G178" s="1">
        <f t="shared" si="17"/>
        <v>9</v>
      </c>
      <c r="H178" s="1">
        <f t="shared" si="18"/>
        <v>0</v>
      </c>
      <c r="I178" s="1">
        <f t="shared" si="19"/>
        <v>9</v>
      </c>
    </row>
    <row r="179" spans="1:9" x14ac:dyDescent="0.25">
      <c r="A179" s="1" t="s">
        <v>17</v>
      </c>
      <c r="B179" s="1">
        <v>75</v>
      </c>
      <c r="C179" s="1">
        <v>620247301</v>
      </c>
      <c r="D179" s="1">
        <v>913510700</v>
      </c>
      <c r="E179" s="1">
        <f t="shared" si="15"/>
        <v>-293263399</v>
      </c>
      <c r="F179" s="1">
        <f t="shared" si="16"/>
        <v>293263399</v>
      </c>
      <c r="G179" s="1">
        <f t="shared" si="17"/>
        <v>20</v>
      </c>
      <c r="H179" s="1">
        <f t="shared" si="18"/>
        <v>0</v>
      </c>
      <c r="I179" s="1">
        <f t="shared" si="19"/>
        <v>20</v>
      </c>
    </row>
    <row r="180" spans="1:9" x14ac:dyDescent="0.25">
      <c r="A180" s="1" t="s">
        <v>17</v>
      </c>
      <c r="B180" s="1">
        <v>76</v>
      </c>
      <c r="C180" s="1">
        <v>615764600</v>
      </c>
      <c r="D180" s="1">
        <v>922910400</v>
      </c>
      <c r="E180" s="1">
        <f t="shared" si="15"/>
        <v>-307145800</v>
      </c>
      <c r="F180" s="1">
        <f t="shared" si="16"/>
        <v>307145800</v>
      </c>
      <c r="G180" s="1">
        <f t="shared" si="17"/>
        <v>84</v>
      </c>
      <c r="H180" s="1">
        <f t="shared" si="18"/>
        <v>0</v>
      </c>
      <c r="I180" s="1">
        <f t="shared" si="19"/>
        <v>84</v>
      </c>
    </row>
    <row r="181" spans="1:9" x14ac:dyDescent="0.25">
      <c r="A181" s="1" t="s">
        <v>17</v>
      </c>
      <c r="B181" s="1">
        <v>77</v>
      </c>
      <c r="C181" s="1">
        <v>615221600</v>
      </c>
      <c r="D181" s="1">
        <v>916103400</v>
      </c>
      <c r="E181" s="1">
        <f t="shared" si="15"/>
        <v>-300881800</v>
      </c>
      <c r="F181" s="1">
        <f t="shared" si="16"/>
        <v>300881800</v>
      </c>
      <c r="G181" s="1">
        <f t="shared" si="17"/>
        <v>51</v>
      </c>
      <c r="H181" s="1">
        <f t="shared" si="18"/>
        <v>0</v>
      </c>
      <c r="I181" s="1">
        <f t="shared" si="19"/>
        <v>51</v>
      </c>
    </row>
    <row r="182" spans="1:9" x14ac:dyDescent="0.25">
      <c r="A182" s="1" t="s">
        <v>17</v>
      </c>
      <c r="B182" s="1">
        <v>78</v>
      </c>
      <c r="C182" s="1">
        <v>615718000</v>
      </c>
      <c r="D182" s="1">
        <v>921348300</v>
      </c>
      <c r="E182" s="1">
        <f t="shared" si="15"/>
        <v>-305630300</v>
      </c>
      <c r="F182" s="1">
        <f t="shared" si="16"/>
        <v>305630300</v>
      </c>
      <c r="G182" s="1">
        <f t="shared" si="17"/>
        <v>76</v>
      </c>
      <c r="H182" s="1">
        <f t="shared" si="18"/>
        <v>0</v>
      </c>
      <c r="I182" s="1">
        <f t="shared" si="19"/>
        <v>76</v>
      </c>
    </row>
    <row r="183" spans="1:9" x14ac:dyDescent="0.25">
      <c r="A183" s="1" t="s">
        <v>17</v>
      </c>
      <c r="B183" s="1">
        <v>79</v>
      </c>
      <c r="C183" s="1">
        <v>616054700</v>
      </c>
      <c r="D183" s="1">
        <v>932407300</v>
      </c>
      <c r="E183" s="1">
        <f t="shared" si="15"/>
        <v>-316352600</v>
      </c>
      <c r="F183" s="1">
        <f t="shared" si="16"/>
        <v>316352600</v>
      </c>
      <c r="G183" s="1">
        <f t="shared" si="17"/>
        <v>94</v>
      </c>
      <c r="H183" s="1">
        <f t="shared" si="18"/>
        <v>0</v>
      </c>
      <c r="I183" s="1">
        <f t="shared" si="19"/>
        <v>94</v>
      </c>
    </row>
    <row r="184" spans="1:9" x14ac:dyDescent="0.25">
      <c r="A184" s="1" t="s">
        <v>17</v>
      </c>
      <c r="B184" s="1">
        <v>80</v>
      </c>
      <c r="C184" s="1">
        <v>624575100</v>
      </c>
      <c r="D184" s="1">
        <v>931475000</v>
      </c>
      <c r="E184" s="1">
        <f t="shared" si="15"/>
        <v>-306899900</v>
      </c>
      <c r="F184" s="1">
        <f t="shared" si="16"/>
        <v>306899900</v>
      </c>
      <c r="G184" s="1">
        <f t="shared" si="17"/>
        <v>82</v>
      </c>
      <c r="H184" s="1">
        <f t="shared" si="18"/>
        <v>0</v>
      </c>
      <c r="I184" s="1">
        <f t="shared" si="19"/>
        <v>82</v>
      </c>
    </row>
    <row r="185" spans="1:9" x14ac:dyDescent="0.25">
      <c r="A185" s="1" t="s">
        <v>17</v>
      </c>
      <c r="B185" s="1">
        <v>81</v>
      </c>
      <c r="C185" s="1">
        <v>687378800</v>
      </c>
      <c r="D185" s="1">
        <v>942234900</v>
      </c>
      <c r="E185" s="1">
        <f t="shared" si="15"/>
        <v>-254856100</v>
      </c>
      <c r="F185" s="1">
        <f t="shared" si="16"/>
        <v>254856100</v>
      </c>
      <c r="G185" s="1">
        <f t="shared" si="17"/>
        <v>1</v>
      </c>
      <c r="H185" s="1">
        <f t="shared" si="18"/>
        <v>0</v>
      </c>
      <c r="I185" s="1">
        <f t="shared" si="19"/>
        <v>1</v>
      </c>
    </row>
    <row r="186" spans="1:9" x14ac:dyDescent="0.25">
      <c r="A186" s="1" t="s">
        <v>17</v>
      </c>
      <c r="B186" s="1">
        <v>82</v>
      </c>
      <c r="C186" s="1">
        <v>649072701</v>
      </c>
      <c r="D186" s="1">
        <v>926867600</v>
      </c>
      <c r="E186" s="1">
        <f t="shared" si="15"/>
        <v>-277794899</v>
      </c>
      <c r="F186" s="1">
        <f t="shared" si="16"/>
        <v>277794899</v>
      </c>
      <c r="G186" s="1">
        <f t="shared" si="17"/>
        <v>5</v>
      </c>
      <c r="H186" s="1">
        <f t="shared" si="18"/>
        <v>0</v>
      </c>
      <c r="I186" s="1">
        <f t="shared" si="19"/>
        <v>5</v>
      </c>
    </row>
    <row r="187" spans="1:9" x14ac:dyDescent="0.25">
      <c r="A187" s="1" t="s">
        <v>17</v>
      </c>
      <c r="B187" s="1">
        <v>83</v>
      </c>
      <c r="C187" s="1">
        <v>658603300</v>
      </c>
      <c r="D187" s="1">
        <v>924610600</v>
      </c>
      <c r="E187" s="1">
        <f t="shared" si="15"/>
        <v>-266007300</v>
      </c>
      <c r="F187" s="1">
        <f t="shared" si="16"/>
        <v>266007300</v>
      </c>
      <c r="G187" s="1">
        <f t="shared" si="17"/>
        <v>2</v>
      </c>
      <c r="H187" s="1">
        <f t="shared" si="18"/>
        <v>0</v>
      </c>
      <c r="I187" s="1">
        <f t="shared" si="19"/>
        <v>2</v>
      </c>
    </row>
    <row r="188" spans="1:9" x14ac:dyDescent="0.25">
      <c r="A188" s="1" t="s">
        <v>17</v>
      </c>
      <c r="B188" s="1">
        <v>84</v>
      </c>
      <c r="C188" s="1">
        <v>676561201</v>
      </c>
      <c r="D188" s="1">
        <v>943443400</v>
      </c>
      <c r="E188" s="1">
        <f t="shared" si="15"/>
        <v>-266882199</v>
      </c>
      <c r="F188" s="1">
        <f t="shared" si="16"/>
        <v>266882199</v>
      </c>
      <c r="G188" s="1">
        <f t="shared" si="17"/>
        <v>3</v>
      </c>
      <c r="H188" s="1">
        <f t="shared" si="18"/>
        <v>0</v>
      </c>
      <c r="I188" s="1">
        <f t="shared" si="19"/>
        <v>3</v>
      </c>
    </row>
    <row r="189" spans="1:9" x14ac:dyDescent="0.25">
      <c r="A189" s="1" t="s">
        <v>17</v>
      </c>
      <c r="B189" s="1">
        <v>85</v>
      </c>
      <c r="C189" s="1">
        <v>634519800</v>
      </c>
      <c r="D189" s="1">
        <v>935728200</v>
      </c>
      <c r="E189" s="1">
        <f t="shared" si="15"/>
        <v>-301208400</v>
      </c>
      <c r="F189" s="1">
        <f t="shared" si="16"/>
        <v>301208400</v>
      </c>
      <c r="G189" s="1">
        <f t="shared" si="17"/>
        <v>53</v>
      </c>
      <c r="H189" s="1">
        <f t="shared" si="18"/>
        <v>0</v>
      </c>
      <c r="I189" s="1">
        <f t="shared" si="19"/>
        <v>53</v>
      </c>
    </row>
    <row r="190" spans="1:9" x14ac:dyDescent="0.25">
      <c r="A190" s="1" t="s">
        <v>17</v>
      </c>
      <c r="B190" s="1">
        <v>86</v>
      </c>
      <c r="C190" s="1">
        <v>642831900</v>
      </c>
      <c r="D190" s="1">
        <v>947150200</v>
      </c>
      <c r="E190" s="1">
        <f t="shared" si="15"/>
        <v>-304318300</v>
      </c>
      <c r="F190" s="1">
        <f t="shared" si="16"/>
        <v>304318300</v>
      </c>
      <c r="G190" s="1">
        <f t="shared" si="17"/>
        <v>70</v>
      </c>
      <c r="H190" s="1">
        <f t="shared" si="18"/>
        <v>0</v>
      </c>
      <c r="I190" s="1">
        <f t="shared" si="19"/>
        <v>70</v>
      </c>
    </row>
    <row r="191" spans="1:9" x14ac:dyDescent="0.25">
      <c r="A191" s="1" t="s">
        <v>17</v>
      </c>
      <c r="B191" s="1">
        <v>87</v>
      </c>
      <c r="C191" s="1">
        <v>618827200</v>
      </c>
      <c r="D191" s="1">
        <v>919168300</v>
      </c>
      <c r="E191" s="1">
        <f t="shared" si="15"/>
        <v>-300341100</v>
      </c>
      <c r="F191" s="1">
        <f t="shared" si="16"/>
        <v>300341100</v>
      </c>
      <c r="G191" s="1">
        <f t="shared" si="17"/>
        <v>49</v>
      </c>
      <c r="H191" s="1">
        <f t="shared" si="18"/>
        <v>0</v>
      </c>
      <c r="I191" s="1">
        <f t="shared" si="19"/>
        <v>49</v>
      </c>
    </row>
    <row r="192" spans="1:9" x14ac:dyDescent="0.25">
      <c r="A192" s="1" t="s">
        <v>17</v>
      </c>
      <c r="B192" s="1">
        <v>88</v>
      </c>
      <c r="C192" s="1">
        <v>619824900</v>
      </c>
      <c r="D192" s="1">
        <v>926328900</v>
      </c>
      <c r="E192" s="1">
        <f t="shared" si="15"/>
        <v>-306504000</v>
      </c>
      <c r="F192" s="1">
        <f t="shared" si="16"/>
        <v>306504000</v>
      </c>
      <c r="G192" s="1">
        <f t="shared" si="17"/>
        <v>80</v>
      </c>
      <c r="H192" s="1">
        <f t="shared" si="18"/>
        <v>0</v>
      </c>
      <c r="I192" s="1">
        <f t="shared" si="19"/>
        <v>80</v>
      </c>
    </row>
    <row r="193" spans="1:20" x14ac:dyDescent="0.25">
      <c r="A193" s="1" t="s">
        <v>17</v>
      </c>
      <c r="B193" s="1">
        <v>89</v>
      </c>
      <c r="C193" s="1">
        <v>620119300</v>
      </c>
      <c r="D193" s="1">
        <v>924377900</v>
      </c>
      <c r="E193" s="1">
        <f t="shared" si="15"/>
        <v>-304258600</v>
      </c>
      <c r="F193" s="1">
        <f t="shared" si="16"/>
        <v>304258600</v>
      </c>
      <c r="G193" s="1">
        <f t="shared" si="17"/>
        <v>69</v>
      </c>
      <c r="H193" s="1">
        <f t="shared" si="18"/>
        <v>0</v>
      </c>
      <c r="I193" s="1">
        <f t="shared" si="19"/>
        <v>69</v>
      </c>
    </row>
    <row r="194" spans="1:20" x14ac:dyDescent="0.25">
      <c r="A194" s="1" t="s">
        <v>17</v>
      </c>
      <c r="B194" s="1">
        <v>90</v>
      </c>
      <c r="C194" s="1">
        <v>617762301</v>
      </c>
      <c r="D194" s="1">
        <v>917331700</v>
      </c>
      <c r="E194" s="1">
        <f t="shared" si="15"/>
        <v>-299569399</v>
      </c>
      <c r="F194" s="1">
        <f t="shared" si="16"/>
        <v>299569399</v>
      </c>
      <c r="G194" s="1">
        <f t="shared" si="17"/>
        <v>47</v>
      </c>
      <c r="H194" s="1">
        <f t="shared" si="18"/>
        <v>0</v>
      </c>
      <c r="I194" s="1">
        <f t="shared" si="19"/>
        <v>47</v>
      </c>
    </row>
    <row r="195" spans="1:20" x14ac:dyDescent="0.25">
      <c r="A195" s="1" t="s">
        <v>17</v>
      </c>
      <c r="B195" s="1">
        <v>91</v>
      </c>
      <c r="C195" s="1">
        <v>631176900</v>
      </c>
      <c r="D195" s="1">
        <v>922630200</v>
      </c>
      <c r="E195" s="1">
        <f t="shared" si="15"/>
        <v>-291453300</v>
      </c>
      <c r="F195" s="1">
        <f t="shared" si="16"/>
        <v>291453300</v>
      </c>
      <c r="G195" s="1">
        <f t="shared" si="17"/>
        <v>18</v>
      </c>
      <c r="H195" s="1">
        <f t="shared" si="18"/>
        <v>0</v>
      </c>
      <c r="I195" s="1">
        <f t="shared" si="19"/>
        <v>18</v>
      </c>
    </row>
    <row r="196" spans="1:20" x14ac:dyDescent="0.25">
      <c r="A196" s="1" t="s">
        <v>17</v>
      </c>
      <c r="B196" s="1">
        <v>92</v>
      </c>
      <c r="C196" s="1">
        <v>626893300</v>
      </c>
      <c r="D196" s="1">
        <v>934142100</v>
      </c>
      <c r="E196" s="1">
        <f t="shared" si="15"/>
        <v>-307248800</v>
      </c>
      <c r="F196" s="1">
        <f t="shared" si="16"/>
        <v>307248800</v>
      </c>
      <c r="G196" s="1">
        <f t="shared" si="17"/>
        <v>85</v>
      </c>
      <c r="H196" s="1">
        <f t="shared" si="18"/>
        <v>0</v>
      </c>
      <c r="I196" s="1">
        <f t="shared" si="19"/>
        <v>85</v>
      </c>
    </row>
    <row r="197" spans="1:20" x14ac:dyDescent="0.25">
      <c r="A197" s="1" t="s">
        <v>17</v>
      </c>
      <c r="B197" s="1">
        <v>93</v>
      </c>
      <c r="C197" s="1">
        <v>627744600</v>
      </c>
      <c r="D197" s="1">
        <v>925028400</v>
      </c>
      <c r="E197" s="1">
        <f t="shared" si="15"/>
        <v>-297283800</v>
      </c>
      <c r="F197" s="1">
        <f t="shared" si="16"/>
        <v>297283800</v>
      </c>
      <c r="G197" s="1">
        <f t="shared" si="17"/>
        <v>31</v>
      </c>
      <c r="H197" s="1">
        <f t="shared" si="18"/>
        <v>0</v>
      </c>
      <c r="I197" s="1">
        <f t="shared" si="19"/>
        <v>31</v>
      </c>
    </row>
    <row r="198" spans="1:20" x14ac:dyDescent="0.25">
      <c r="A198" s="1" t="s">
        <v>17</v>
      </c>
      <c r="B198" s="1">
        <v>94</v>
      </c>
      <c r="C198" s="1">
        <v>625383100</v>
      </c>
      <c r="D198" s="1">
        <v>915978000</v>
      </c>
      <c r="E198" s="1">
        <f t="shared" si="15"/>
        <v>-290594900</v>
      </c>
      <c r="F198" s="1">
        <f t="shared" si="16"/>
        <v>290594900</v>
      </c>
      <c r="G198" s="1">
        <f t="shared" si="17"/>
        <v>16</v>
      </c>
      <c r="H198" s="1">
        <f t="shared" si="18"/>
        <v>0</v>
      </c>
      <c r="I198" s="1">
        <f t="shared" si="19"/>
        <v>16</v>
      </c>
    </row>
    <row r="199" spans="1:20" x14ac:dyDescent="0.25">
      <c r="A199" s="1" t="s">
        <v>17</v>
      </c>
      <c r="B199" s="1">
        <v>95</v>
      </c>
      <c r="C199" s="1">
        <v>631629900</v>
      </c>
      <c r="D199" s="1">
        <v>928724700</v>
      </c>
      <c r="E199" s="1">
        <f t="shared" si="15"/>
        <v>-297094800</v>
      </c>
      <c r="F199" s="1">
        <f t="shared" si="16"/>
        <v>297094800</v>
      </c>
      <c r="G199" s="1">
        <f t="shared" si="17"/>
        <v>30</v>
      </c>
      <c r="H199" s="1">
        <f t="shared" si="18"/>
        <v>0</v>
      </c>
      <c r="I199" s="1">
        <f t="shared" si="19"/>
        <v>30</v>
      </c>
    </row>
    <row r="200" spans="1:20" x14ac:dyDescent="0.25">
      <c r="A200" s="1" t="s">
        <v>17</v>
      </c>
      <c r="B200" s="1">
        <v>96</v>
      </c>
      <c r="C200" s="1">
        <v>626276500</v>
      </c>
      <c r="D200" s="1">
        <v>931836300</v>
      </c>
      <c r="E200" s="1">
        <f t="shared" si="15"/>
        <v>-305559800</v>
      </c>
      <c r="F200" s="1">
        <f t="shared" si="16"/>
        <v>305559800</v>
      </c>
      <c r="G200" s="1">
        <f t="shared" si="17"/>
        <v>74</v>
      </c>
      <c r="H200" s="1">
        <f t="shared" si="18"/>
        <v>0</v>
      </c>
      <c r="I200" s="1">
        <f t="shared" si="19"/>
        <v>74</v>
      </c>
    </row>
    <row r="201" spans="1:20" x14ac:dyDescent="0.25">
      <c r="A201" s="1" t="s">
        <v>17</v>
      </c>
      <c r="B201" s="1">
        <v>97</v>
      </c>
      <c r="C201" s="1">
        <v>622191001</v>
      </c>
      <c r="D201" s="1">
        <v>927446000</v>
      </c>
      <c r="E201" s="1">
        <f t="shared" si="15"/>
        <v>-305254999</v>
      </c>
      <c r="F201" s="1">
        <f t="shared" si="16"/>
        <v>305254999</v>
      </c>
      <c r="G201" s="1">
        <f t="shared" si="17"/>
        <v>73</v>
      </c>
      <c r="H201" s="1">
        <f t="shared" si="18"/>
        <v>0</v>
      </c>
      <c r="I201" s="1">
        <f t="shared" si="19"/>
        <v>73</v>
      </c>
    </row>
    <row r="202" spans="1:20" x14ac:dyDescent="0.25">
      <c r="A202" s="1" t="s">
        <v>17</v>
      </c>
      <c r="B202" s="1">
        <v>98</v>
      </c>
      <c r="C202" s="1">
        <v>632893201</v>
      </c>
      <c r="D202" s="1">
        <v>919850400</v>
      </c>
      <c r="E202" s="1">
        <f t="shared" si="15"/>
        <v>-286957199</v>
      </c>
      <c r="F202" s="1">
        <f t="shared" si="16"/>
        <v>286957199</v>
      </c>
      <c r="G202" s="1">
        <f t="shared" si="17"/>
        <v>10</v>
      </c>
      <c r="H202" s="1">
        <f t="shared" si="18"/>
        <v>0</v>
      </c>
      <c r="I202" s="1">
        <f t="shared" si="19"/>
        <v>10</v>
      </c>
    </row>
    <row r="203" spans="1:20" x14ac:dyDescent="0.25">
      <c r="A203" s="1" t="s">
        <v>17</v>
      </c>
      <c r="B203" s="1">
        <v>99</v>
      </c>
      <c r="C203" s="1">
        <v>637567500</v>
      </c>
      <c r="D203" s="1">
        <v>917891700</v>
      </c>
      <c r="E203" s="1">
        <f t="shared" si="15"/>
        <v>-280324200</v>
      </c>
      <c r="F203" s="1">
        <f t="shared" si="16"/>
        <v>280324200</v>
      </c>
      <c r="G203" s="1">
        <f t="shared" si="17"/>
        <v>6</v>
      </c>
      <c r="H203" s="1">
        <f t="shared" si="18"/>
        <v>0</v>
      </c>
      <c r="I203" s="1">
        <f t="shared" si="19"/>
        <v>6</v>
      </c>
    </row>
    <row r="204" spans="1:20" x14ac:dyDescent="0.25">
      <c r="A204" s="1" t="s">
        <v>17</v>
      </c>
      <c r="B204" s="1">
        <v>100</v>
      </c>
      <c r="C204" s="1">
        <v>635084900</v>
      </c>
      <c r="D204" s="1">
        <v>916291900</v>
      </c>
      <c r="E204" s="1">
        <f t="shared" si="15"/>
        <v>-281207000</v>
      </c>
      <c r="F204" s="1">
        <f t="shared" si="16"/>
        <v>281207000</v>
      </c>
      <c r="G204" s="1">
        <f t="shared" si="17"/>
        <v>7</v>
      </c>
      <c r="H204" s="1">
        <f t="shared" si="18"/>
        <v>0</v>
      </c>
      <c r="I204" s="1">
        <f t="shared" si="19"/>
        <v>7</v>
      </c>
    </row>
    <row r="207" spans="1:20" x14ac:dyDescent="0.25">
      <c r="A207" s="1" t="s">
        <v>0</v>
      </c>
      <c r="B207" s="1" t="s">
        <v>18</v>
      </c>
      <c r="C207" s="1" t="s">
        <v>2</v>
      </c>
      <c r="D207" s="1" t="s">
        <v>3</v>
      </c>
      <c r="E207" s="1" t="s">
        <v>4</v>
      </c>
      <c r="F207" s="1" t="s">
        <v>5</v>
      </c>
      <c r="G207" s="1" t="s">
        <v>6</v>
      </c>
      <c r="H207" s="1" t="s">
        <v>7</v>
      </c>
      <c r="I207" s="1" t="s">
        <v>8</v>
      </c>
      <c r="Q207" s="1" t="s">
        <v>11</v>
      </c>
      <c r="R207" s="1" t="s">
        <v>12</v>
      </c>
      <c r="S207" s="1" t="s">
        <v>14</v>
      </c>
      <c r="T207" s="1" t="s">
        <v>15</v>
      </c>
    </row>
    <row r="208" spans="1:20" x14ac:dyDescent="0.25">
      <c r="A208" s="1" t="s">
        <v>19</v>
      </c>
      <c r="B208" s="1">
        <v>1</v>
      </c>
      <c r="C208" s="1">
        <v>819606100</v>
      </c>
      <c r="D208" s="1">
        <v>1017494300</v>
      </c>
      <c r="E208" s="1">
        <f>C208-D208</f>
        <v>-197888200</v>
      </c>
      <c r="F208" s="1">
        <f>ABS(E208)</f>
        <v>197888200</v>
      </c>
      <c r="G208" s="1">
        <f>_xlfn.RANK.AVG(F208,$F$208:$F$307,1)</f>
        <v>17</v>
      </c>
      <c r="H208" s="1">
        <f>IF(E208&gt;0,G208,0)</f>
        <v>0</v>
      </c>
      <c r="I208" s="1">
        <f>IF(E208&lt;0,G208,0)</f>
        <v>17</v>
      </c>
      <c r="N208" s="1" t="s">
        <v>9</v>
      </c>
      <c r="O208" s="1">
        <f>SUM(H208:H307)</f>
        <v>0</v>
      </c>
      <c r="Q208" s="1">
        <f>100*(101)/4</f>
        <v>2525</v>
      </c>
      <c r="R208" s="1">
        <f>SQRT(100*101*201/24)</f>
        <v>290.83930270855763</v>
      </c>
      <c r="S208" s="1">
        <f>(O210-Q208)/R208</f>
        <v>-8.6817702301061956</v>
      </c>
      <c r="T208" s="1">
        <f>_xlfn.NORM.S.DIST(-ABS(S208),1)*2</f>
        <v>3.8965598450959092E-18</v>
      </c>
    </row>
    <row r="209" spans="1:20" x14ac:dyDescent="0.25">
      <c r="A209" s="1" t="s">
        <v>19</v>
      </c>
      <c r="B209" s="1">
        <v>2</v>
      </c>
      <c r="C209" s="1">
        <v>822359800</v>
      </c>
      <c r="D209" s="1">
        <v>1021031000</v>
      </c>
      <c r="E209" s="1">
        <f t="shared" ref="E209:E272" si="20">C209-D209</f>
        <v>-198671200</v>
      </c>
      <c r="F209" s="1">
        <f t="shared" ref="F209:F272" si="21">ABS(E209)</f>
        <v>198671200</v>
      </c>
      <c r="G209" s="1">
        <f t="shared" ref="G209:G272" si="22">_xlfn.RANK.AVG(F209,$F$208:$F$307,1)</f>
        <v>19</v>
      </c>
      <c r="H209" s="1">
        <f t="shared" ref="H209:H272" si="23">IF(E209&gt;0,G209,0)</f>
        <v>0</v>
      </c>
      <c r="I209" s="1">
        <f t="shared" ref="I209:I272" si="24">IF(E209&lt;0,G209,0)</f>
        <v>19</v>
      </c>
      <c r="N209" s="1" t="s">
        <v>10</v>
      </c>
      <c r="O209" s="1">
        <f>SUM(I208:I307)</f>
        <v>5050</v>
      </c>
    </row>
    <row r="210" spans="1:20" x14ac:dyDescent="0.25">
      <c r="A210" s="1" t="s">
        <v>19</v>
      </c>
      <c r="B210" s="1">
        <v>3</v>
      </c>
      <c r="C210" s="1">
        <v>813954100</v>
      </c>
      <c r="D210" s="1">
        <v>1041176400</v>
      </c>
      <c r="E210" s="1">
        <f t="shared" si="20"/>
        <v>-227222300</v>
      </c>
      <c r="F210" s="1">
        <f t="shared" si="21"/>
        <v>227222300</v>
      </c>
      <c r="G210" s="1">
        <f t="shared" si="22"/>
        <v>95</v>
      </c>
      <c r="H210" s="1">
        <f t="shared" si="23"/>
        <v>0</v>
      </c>
      <c r="I210" s="1">
        <f t="shared" si="24"/>
        <v>95</v>
      </c>
      <c r="N210" s="1" t="s">
        <v>13</v>
      </c>
      <c r="O210" s="1">
        <f>MIN(O208,O209)</f>
        <v>0</v>
      </c>
    </row>
    <row r="211" spans="1:20" x14ac:dyDescent="0.25">
      <c r="A211" s="1" t="s">
        <v>19</v>
      </c>
      <c r="B211" s="1">
        <v>4</v>
      </c>
      <c r="C211" s="1">
        <v>832764900</v>
      </c>
      <c r="D211" s="1">
        <v>1031058000</v>
      </c>
      <c r="E211" s="1">
        <f t="shared" si="20"/>
        <v>-198293100</v>
      </c>
      <c r="F211" s="1">
        <f t="shared" si="21"/>
        <v>198293100</v>
      </c>
      <c r="G211" s="1">
        <f t="shared" si="22"/>
        <v>18</v>
      </c>
      <c r="H211" s="1">
        <f t="shared" si="23"/>
        <v>0</v>
      </c>
      <c r="I211" s="1">
        <f t="shared" si="24"/>
        <v>18</v>
      </c>
    </row>
    <row r="212" spans="1:20" x14ac:dyDescent="0.25">
      <c r="A212" s="1" t="s">
        <v>19</v>
      </c>
      <c r="B212" s="1">
        <v>5</v>
      </c>
      <c r="C212" s="1">
        <v>832076200</v>
      </c>
      <c r="D212" s="1">
        <v>1043300600</v>
      </c>
      <c r="E212" s="1">
        <f t="shared" si="20"/>
        <v>-211224400</v>
      </c>
      <c r="F212" s="1">
        <f t="shared" si="21"/>
        <v>211224400</v>
      </c>
      <c r="G212" s="1">
        <f t="shared" si="22"/>
        <v>53</v>
      </c>
      <c r="H212" s="1">
        <f t="shared" si="23"/>
        <v>0</v>
      </c>
      <c r="I212" s="1">
        <f t="shared" si="24"/>
        <v>53</v>
      </c>
    </row>
    <row r="213" spans="1:20" x14ac:dyDescent="0.25">
      <c r="A213" s="1" t="s">
        <v>19</v>
      </c>
      <c r="B213" s="1">
        <v>6</v>
      </c>
      <c r="C213" s="1">
        <v>816337700</v>
      </c>
      <c r="D213" s="1">
        <v>1021184200</v>
      </c>
      <c r="E213" s="1">
        <f t="shared" si="20"/>
        <v>-204846500</v>
      </c>
      <c r="F213" s="1">
        <f t="shared" si="21"/>
        <v>204846500</v>
      </c>
      <c r="G213" s="1">
        <f t="shared" si="22"/>
        <v>37</v>
      </c>
      <c r="H213" s="1">
        <f t="shared" si="23"/>
        <v>0</v>
      </c>
      <c r="I213" s="1">
        <f t="shared" si="24"/>
        <v>37</v>
      </c>
    </row>
    <row r="214" spans="1:20" x14ac:dyDescent="0.25">
      <c r="A214" s="1" t="s">
        <v>19</v>
      </c>
      <c r="B214" s="1">
        <v>7</v>
      </c>
      <c r="C214" s="1">
        <v>890259000</v>
      </c>
      <c r="D214" s="1">
        <v>1021300100</v>
      </c>
      <c r="E214" s="1">
        <f t="shared" si="20"/>
        <v>-131041100</v>
      </c>
      <c r="F214" s="1">
        <f t="shared" si="21"/>
        <v>131041100</v>
      </c>
      <c r="G214" s="1">
        <f t="shared" si="22"/>
        <v>1</v>
      </c>
      <c r="H214" s="1">
        <f t="shared" si="23"/>
        <v>0</v>
      </c>
      <c r="I214" s="1">
        <f t="shared" si="24"/>
        <v>1</v>
      </c>
    </row>
    <row r="215" spans="1:20" x14ac:dyDescent="0.25">
      <c r="A215" s="1" t="s">
        <v>19</v>
      </c>
      <c r="B215" s="1">
        <v>8</v>
      </c>
      <c r="C215" s="1">
        <v>864595300</v>
      </c>
      <c r="D215" s="1">
        <v>1032399700</v>
      </c>
      <c r="E215" s="1">
        <f t="shared" si="20"/>
        <v>-167804400</v>
      </c>
      <c r="F215" s="1">
        <f t="shared" si="21"/>
        <v>167804400</v>
      </c>
      <c r="G215" s="1">
        <f t="shared" si="22"/>
        <v>2</v>
      </c>
      <c r="H215" s="1">
        <f t="shared" si="23"/>
        <v>0</v>
      </c>
      <c r="I215" s="1">
        <f t="shared" si="24"/>
        <v>2</v>
      </c>
    </row>
    <row r="216" spans="1:20" x14ac:dyDescent="0.25">
      <c r="A216" s="1" t="s">
        <v>19</v>
      </c>
      <c r="B216" s="1">
        <v>9</v>
      </c>
      <c r="C216" s="1">
        <v>822299500</v>
      </c>
      <c r="D216" s="1">
        <v>1029107500</v>
      </c>
      <c r="E216" s="1">
        <f t="shared" si="20"/>
        <v>-206808000</v>
      </c>
      <c r="F216" s="1">
        <f t="shared" si="21"/>
        <v>206808000</v>
      </c>
      <c r="G216" s="1">
        <f t="shared" si="22"/>
        <v>44</v>
      </c>
      <c r="H216" s="1">
        <f t="shared" si="23"/>
        <v>0</v>
      </c>
      <c r="I216" s="1">
        <f t="shared" si="24"/>
        <v>44</v>
      </c>
    </row>
    <row r="217" spans="1:20" x14ac:dyDescent="0.25">
      <c r="A217" s="1" t="s">
        <v>19</v>
      </c>
      <c r="B217" s="1">
        <v>10</v>
      </c>
      <c r="C217" s="1">
        <v>815080399</v>
      </c>
      <c r="D217" s="1">
        <v>1029255900</v>
      </c>
      <c r="E217" s="1">
        <f t="shared" si="20"/>
        <v>-214175501</v>
      </c>
      <c r="F217" s="1">
        <f t="shared" si="21"/>
        <v>214175501</v>
      </c>
      <c r="G217" s="1">
        <f t="shared" si="22"/>
        <v>68</v>
      </c>
      <c r="H217" s="1">
        <f t="shared" si="23"/>
        <v>0</v>
      </c>
      <c r="I217" s="1">
        <f t="shared" si="24"/>
        <v>68</v>
      </c>
    </row>
    <row r="218" spans="1:20" x14ac:dyDescent="0.25">
      <c r="A218" s="1" t="s">
        <v>19</v>
      </c>
      <c r="B218" s="1">
        <v>11</v>
      </c>
      <c r="C218" s="1">
        <v>821219500</v>
      </c>
      <c r="D218" s="1">
        <v>1017543800</v>
      </c>
      <c r="E218" s="1">
        <f t="shared" si="20"/>
        <v>-196324300</v>
      </c>
      <c r="F218" s="1">
        <f t="shared" si="21"/>
        <v>196324300</v>
      </c>
      <c r="G218" s="1">
        <f t="shared" si="22"/>
        <v>14</v>
      </c>
      <c r="H218" s="1">
        <f t="shared" si="23"/>
        <v>0</v>
      </c>
      <c r="I218" s="1">
        <f t="shared" si="24"/>
        <v>14</v>
      </c>
    </row>
    <row r="219" spans="1:20" x14ac:dyDescent="0.25">
      <c r="A219" s="1" t="s">
        <v>19</v>
      </c>
      <c r="B219" s="1">
        <v>12</v>
      </c>
      <c r="C219" s="1">
        <v>823958301</v>
      </c>
      <c r="D219" s="1">
        <v>1034592500</v>
      </c>
      <c r="E219" s="1">
        <f t="shared" si="20"/>
        <v>-210634199</v>
      </c>
      <c r="F219" s="1">
        <f t="shared" si="21"/>
        <v>210634199</v>
      </c>
      <c r="G219" s="1">
        <f t="shared" si="22"/>
        <v>52</v>
      </c>
      <c r="H219" s="1">
        <f t="shared" si="23"/>
        <v>0</v>
      </c>
      <c r="I219" s="1">
        <f t="shared" si="24"/>
        <v>52</v>
      </c>
      <c r="N219" s="2" t="s">
        <v>21</v>
      </c>
      <c r="O219" s="2"/>
      <c r="P219" s="2"/>
      <c r="Q219" s="2"/>
      <c r="R219" s="2"/>
      <c r="S219" s="2"/>
      <c r="T219" s="2"/>
    </row>
    <row r="220" spans="1:20" x14ac:dyDescent="0.25">
      <c r="A220" s="1" t="s">
        <v>19</v>
      </c>
      <c r="B220" s="1">
        <v>13</v>
      </c>
      <c r="C220" s="1">
        <v>805793699</v>
      </c>
      <c r="D220" s="1">
        <v>1029402300</v>
      </c>
      <c r="E220" s="1">
        <f t="shared" si="20"/>
        <v>-223608601</v>
      </c>
      <c r="F220" s="1">
        <f t="shared" si="21"/>
        <v>223608601</v>
      </c>
      <c r="G220" s="1">
        <f t="shared" si="22"/>
        <v>89</v>
      </c>
      <c r="H220" s="1">
        <f t="shared" si="23"/>
        <v>0</v>
      </c>
      <c r="I220" s="1">
        <f t="shared" si="24"/>
        <v>89</v>
      </c>
      <c r="N220" s="2"/>
      <c r="O220" s="2"/>
      <c r="P220" s="2"/>
      <c r="Q220" s="2"/>
      <c r="R220" s="2"/>
      <c r="S220" s="2"/>
      <c r="T220" s="2"/>
    </row>
    <row r="221" spans="1:20" x14ac:dyDescent="0.25">
      <c r="A221" s="1" t="s">
        <v>19</v>
      </c>
      <c r="B221" s="1">
        <v>14</v>
      </c>
      <c r="C221" s="1">
        <v>806015299</v>
      </c>
      <c r="D221" s="1">
        <v>1033306500</v>
      </c>
      <c r="E221" s="1">
        <f t="shared" si="20"/>
        <v>-227291201</v>
      </c>
      <c r="F221" s="1">
        <f t="shared" si="21"/>
        <v>227291201</v>
      </c>
      <c r="G221" s="1">
        <f t="shared" si="22"/>
        <v>96</v>
      </c>
      <c r="H221" s="1">
        <f t="shared" si="23"/>
        <v>0</v>
      </c>
      <c r="I221" s="1">
        <f t="shared" si="24"/>
        <v>96</v>
      </c>
      <c r="N221" s="2"/>
      <c r="O221" s="2"/>
      <c r="P221" s="2"/>
      <c r="Q221" s="2"/>
      <c r="R221" s="2"/>
      <c r="S221" s="2"/>
      <c r="T221" s="2"/>
    </row>
    <row r="222" spans="1:20" x14ac:dyDescent="0.25">
      <c r="A222" s="1" t="s">
        <v>19</v>
      </c>
      <c r="B222" s="1">
        <v>15</v>
      </c>
      <c r="C222" s="1">
        <v>807501600</v>
      </c>
      <c r="D222" s="1">
        <v>1022196500</v>
      </c>
      <c r="E222" s="1">
        <f t="shared" si="20"/>
        <v>-214694900</v>
      </c>
      <c r="F222" s="1">
        <f t="shared" si="21"/>
        <v>214694900</v>
      </c>
      <c r="G222" s="1">
        <f t="shared" si="22"/>
        <v>69</v>
      </c>
      <c r="H222" s="1">
        <f t="shared" si="23"/>
        <v>0</v>
      </c>
      <c r="I222" s="1">
        <f t="shared" si="24"/>
        <v>69</v>
      </c>
      <c r="N222" s="2"/>
      <c r="O222" s="2"/>
      <c r="P222" s="2"/>
      <c r="Q222" s="2"/>
      <c r="R222" s="2"/>
      <c r="S222" s="2"/>
      <c r="T222" s="2"/>
    </row>
    <row r="223" spans="1:20" x14ac:dyDescent="0.25">
      <c r="A223" s="1" t="s">
        <v>19</v>
      </c>
      <c r="B223" s="1">
        <v>16</v>
      </c>
      <c r="C223" s="1">
        <v>806902900</v>
      </c>
      <c r="D223" s="1">
        <v>1019298500</v>
      </c>
      <c r="E223" s="1">
        <f t="shared" si="20"/>
        <v>-212395600</v>
      </c>
      <c r="F223" s="1">
        <f t="shared" si="21"/>
        <v>212395600</v>
      </c>
      <c r="G223" s="1">
        <f t="shared" si="22"/>
        <v>62</v>
      </c>
      <c r="H223" s="1">
        <f t="shared" si="23"/>
        <v>0</v>
      </c>
      <c r="I223" s="1">
        <f t="shared" si="24"/>
        <v>62</v>
      </c>
      <c r="N223" s="2"/>
      <c r="O223" s="2"/>
      <c r="P223" s="2"/>
      <c r="Q223" s="2"/>
      <c r="R223" s="2"/>
      <c r="S223" s="2"/>
      <c r="T223" s="2"/>
    </row>
    <row r="224" spans="1:20" x14ac:dyDescent="0.25">
      <c r="A224" s="1" t="s">
        <v>19</v>
      </c>
      <c r="B224" s="1">
        <v>17</v>
      </c>
      <c r="C224" s="1">
        <v>809440500</v>
      </c>
      <c r="D224" s="1">
        <v>1023239300</v>
      </c>
      <c r="E224" s="1">
        <f t="shared" si="20"/>
        <v>-213798800</v>
      </c>
      <c r="F224" s="1">
        <f t="shared" si="21"/>
        <v>213798800</v>
      </c>
      <c r="G224" s="1">
        <f t="shared" si="22"/>
        <v>66</v>
      </c>
      <c r="H224" s="1">
        <f t="shared" si="23"/>
        <v>0</v>
      </c>
      <c r="I224" s="1">
        <f t="shared" si="24"/>
        <v>66</v>
      </c>
    </row>
    <row r="225" spans="1:9" x14ac:dyDescent="0.25">
      <c r="A225" s="1" t="s">
        <v>19</v>
      </c>
      <c r="B225" s="1">
        <v>18</v>
      </c>
      <c r="C225" s="1">
        <v>815935100</v>
      </c>
      <c r="D225" s="1">
        <v>1018656400</v>
      </c>
      <c r="E225" s="1">
        <f t="shared" si="20"/>
        <v>-202721300</v>
      </c>
      <c r="F225" s="1">
        <f t="shared" si="21"/>
        <v>202721300</v>
      </c>
      <c r="G225" s="1">
        <f t="shared" si="22"/>
        <v>29</v>
      </c>
      <c r="H225" s="1">
        <f t="shared" si="23"/>
        <v>0</v>
      </c>
      <c r="I225" s="1">
        <f t="shared" si="24"/>
        <v>29</v>
      </c>
    </row>
    <row r="226" spans="1:9" x14ac:dyDescent="0.25">
      <c r="A226" s="1" t="s">
        <v>19</v>
      </c>
      <c r="B226" s="1">
        <v>19</v>
      </c>
      <c r="C226" s="1">
        <v>836301000</v>
      </c>
      <c r="D226" s="1">
        <v>1018015800</v>
      </c>
      <c r="E226" s="1">
        <f t="shared" si="20"/>
        <v>-181714800</v>
      </c>
      <c r="F226" s="1">
        <f t="shared" si="21"/>
        <v>181714800</v>
      </c>
      <c r="G226" s="1">
        <f t="shared" si="22"/>
        <v>3</v>
      </c>
      <c r="H226" s="1">
        <f t="shared" si="23"/>
        <v>0</v>
      </c>
      <c r="I226" s="1">
        <f t="shared" si="24"/>
        <v>3</v>
      </c>
    </row>
    <row r="227" spans="1:9" x14ac:dyDescent="0.25">
      <c r="A227" s="1" t="s">
        <v>19</v>
      </c>
      <c r="B227" s="1">
        <v>20</v>
      </c>
      <c r="C227" s="1">
        <v>827010300</v>
      </c>
      <c r="D227" s="1">
        <v>1020068700</v>
      </c>
      <c r="E227" s="1">
        <f t="shared" si="20"/>
        <v>-193058400</v>
      </c>
      <c r="F227" s="1">
        <f t="shared" si="21"/>
        <v>193058400</v>
      </c>
      <c r="G227" s="1">
        <f t="shared" si="22"/>
        <v>10</v>
      </c>
      <c r="H227" s="1">
        <f t="shared" si="23"/>
        <v>0</v>
      </c>
      <c r="I227" s="1">
        <f t="shared" si="24"/>
        <v>10</v>
      </c>
    </row>
    <row r="228" spans="1:9" x14ac:dyDescent="0.25">
      <c r="A228" s="1" t="s">
        <v>19</v>
      </c>
      <c r="B228" s="1">
        <v>21</v>
      </c>
      <c r="C228" s="1">
        <v>824984500</v>
      </c>
      <c r="D228" s="1">
        <v>1041384200</v>
      </c>
      <c r="E228" s="1">
        <f t="shared" si="20"/>
        <v>-216399700</v>
      </c>
      <c r="F228" s="1">
        <f t="shared" si="21"/>
        <v>216399700</v>
      </c>
      <c r="G228" s="1">
        <f t="shared" si="22"/>
        <v>78</v>
      </c>
      <c r="H228" s="1">
        <f t="shared" si="23"/>
        <v>0</v>
      </c>
      <c r="I228" s="1">
        <f t="shared" si="24"/>
        <v>78</v>
      </c>
    </row>
    <row r="229" spans="1:9" x14ac:dyDescent="0.25">
      <c r="A229" s="1" t="s">
        <v>19</v>
      </c>
      <c r="B229" s="1">
        <v>22</v>
      </c>
      <c r="C229" s="1">
        <v>830092400</v>
      </c>
      <c r="D229" s="1">
        <v>1029309700</v>
      </c>
      <c r="E229" s="1">
        <f t="shared" si="20"/>
        <v>-199217300</v>
      </c>
      <c r="F229" s="1">
        <f t="shared" si="21"/>
        <v>199217300</v>
      </c>
      <c r="G229" s="1">
        <f t="shared" si="22"/>
        <v>21</v>
      </c>
      <c r="H229" s="1">
        <f t="shared" si="23"/>
        <v>0</v>
      </c>
      <c r="I229" s="1">
        <f t="shared" si="24"/>
        <v>21</v>
      </c>
    </row>
    <row r="230" spans="1:9" x14ac:dyDescent="0.25">
      <c r="A230" s="1" t="s">
        <v>19</v>
      </c>
      <c r="B230" s="1">
        <v>23</v>
      </c>
      <c r="C230" s="1">
        <v>823660400</v>
      </c>
      <c r="D230" s="1">
        <v>1048118300</v>
      </c>
      <c r="E230" s="1">
        <f t="shared" si="20"/>
        <v>-224457900</v>
      </c>
      <c r="F230" s="1">
        <f t="shared" si="21"/>
        <v>224457900</v>
      </c>
      <c r="G230" s="1">
        <f t="shared" si="22"/>
        <v>90</v>
      </c>
      <c r="H230" s="1">
        <f t="shared" si="23"/>
        <v>0</v>
      </c>
      <c r="I230" s="1">
        <f t="shared" si="24"/>
        <v>90</v>
      </c>
    </row>
    <row r="231" spans="1:9" x14ac:dyDescent="0.25">
      <c r="A231" s="1" t="s">
        <v>19</v>
      </c>
      <c r="B231" s="1">
        <v>24</v>
      </c>
      <c r="C231" s="1">
        <v>808412600</v>
      </c>
      <c r="D231" s="1">
        <v>1020288300</v>
      </c>
      <c r="E231" s="1">
        <f t="shared" si="20"/>
        <v>-211875700</v>
      </c>
      <c r="F231" s="1">
        <f t="shared" si="21"/>
        <v>211875700</v>
      </c>
      <c r="G231" s="1">
        <f t="shared" si="22"/>
        <v>56</v>
      </c>
      <c r="H231" s="1">
        <f t="shared" si="23"/>
        <v>0</v>
      </c>
      <c r="I231" s="1">
        <f t="shared" si="24"/>
        <v>56</v>
      </c>
    </row>
    <row r="232" spans="1:9" x14ac:dyDescent="0.25">
      <c r="A232" s="1" t="s">
        <v>19</v>
      </c>
      <c r="B232" s="1">
        <v>25</v>
      </c>
      <c r="C232" s="1">
        <v>807703000</v>
      </c>
      <c r="D232" s="1">
        <v>1045307100</v>
      </c>
      <c r="E232" s="1">
        <f t="shared" si="20"/>
        <v>-237604100</v>
      </c>
      <c r="F232" s="1">
        <f t="shared" si="21"/>
        <v>237604100</v>
      </c>
      <c r="G232" s="1">
        <f t="shared" si="22"/>
        <v>99</v>
      </c>
      <c r="H232" s="1">
        <f t="shared" si="23"/>
        <v>0</v>
      </c>
      <c r="I232" s="1">
        <f t="shared" si="24"/>
        <v>99</v>
      </c>
    </row>
    <row r="233" spans="1:9" x14ac:dyDescent="0.25">
      <c r="A233" s="1" t="s">
        <v>19</v>
      </c>
      <c r="B233" s="1">
        <v>26</v>
      </c>
      <c r="C233" s="1">
        <v>806651999</v>
      </c>
      <c r="D233" s="1">
        <v>1021583100</v>
      </c>
      <c r="E233" s="1">
        <f t="shared" si="20"/>
        <v>-214931101</v>
      </c>
      <c r="F233" s="1">
        <f t="shared" si="21"/>
        <v>214931101</v>
      </c>
      <c r="G233" s="1">
        <f t="shared" si="22"/>
        <v>72</v>
      </c>
      <c r="H233" s="1">
        <f t="shared" si="23"/>
        <v>0</v>
      </c>
      <c r="I233" s="1">
        <f t="shared" si="24"/>
        <v>72</v>
      </c>
    </row>
    <row r="234" spans="1:9" x14ac:dyDescent="0.25">
      <c r="A234" s="1" t="s">
        <v>19</v>
      </c>
      <c r="B234" s="1">
        <v>27</v>
      </c>
      <c r="C234" s="1">
        <v>811491400</v>
      </c>
      <c r="D234" s="1">
        <v>1028779300</v>
      </c>
      <c r="E234" s="1">
        <f t="shared" si="20"/>
        <v>-217287900</v>
      </c>
      <c r="F234" s="1">
        <f t="shared" si="21"/>
        <v>217287900</v>
      </c>
      <c r="G234" s="1">
        <f t="shared" si="22"/>
        <v>81</v>
      </c>
      <c r="H234" s="1">
        <f t="shared" si="23"/>
        <v>0</v>
      </c>
      <c r="I234" s="1">
        <f t="shared" si="24"/>
        <v>81</v>
      </c>
    </row>
    <row r="235" spans="1:9" x14ac:dyDescent="0.25">
      <c r="A235" s="1" t="s">
        <v>19</v>
      </c>
      <c r="B235" s="1">
        <v>28</v>
      </c>
      <c r="C235" s="1">
        <v>808333700</v>
      </c>
      <c r="D235" s="1">
        <v>1022248200</v>
      </c>
      <c r="E235" s="1">
        <f t="shared" si="20"/>
        <v>-213914500</v>
      </c>
      <c r="F235" s="1">
        <f t="shared" si="21"/>
        <v>213914500</v>
      </c>
      <c r="G235" s="1">
        <f t="shared" si="22"/>
        <v>67</v>
      </c>
      <c r="H235" s="1">
        <f t="shared" si="23"/>
        <v>0</v>
      </c>
      <c r="I235" s="1">
        <f t="shared" si="24"/>
        <v>67</v>
      </c>
    </row>
    <row r="236" spans="1:9" x14ac:dyDescent="0.25">
      <c r="A236" s="1" t="s">
        <v>19</v>
      </c>
      <c r="B236" s="1">
        <v>29</v>
      </c>
      <c r="C236" s="1">
        <v>811526400</v>
      </c>
      <c r="D236" s="1">
        <v>1036000100</v>
      </c>
      <c r="E236" s="1">
        <f t="shared" si="20"/>
        <v>-224473700</v>
      </c>
      <c r="F236" s="1">
        <f t="shared" si="21"/>
        <v>224473700</v>
      </c>
      <c r="G236" s="1">
        <f t="shared" si="22"/>
        <v>91</v>
      </c>
      <c r="H236" s="1">
        <f t="shared" si="23"/>
        <v>0</v>
      </c>
      <c r="I236" s="1">
        <f t="shared" si="24"/>
        <v>91</v>
      </c>
    </row>
    <row r="237" spans="1:9" x14ac:dyDescent="0.25">
      <c r="A237" s="1" t="s">
        <v>19</v>
      </c>
      <c r="B237" s="1">
        <v>30</v>
      </c>
      <c r="C237" s="1">
        <v>807106601</v>
      </c>
      <c r="D237" s="1">
        <v>1024846400</v>
      </c>
      <c r="E237" s="1">
        <f t="shared" si="20"/>
        <v>-217739799</v>
      </c>
      <c r="F237" s="1">
        <f t="shared" si="21"/>
        <v>217739799</v>
      </c>
      <c r="G237" s="1">
        <f t="shared" si="22"/>
        <v>83</v>
      </c>
      <c r="H237" s="1">
        <f t="shared" si="23"/>
        <v>0</v>
      </c>
      <c r="I237" s="1">
        <f t="shared" si="24"/>
        <v>83</v>
      </c>
    </row>
    <row r="238" spans="1:9" x14ac:dyDescent="0.25">
      <c r="A238" s="1" t="s">
        <v>19</v>
      </c>
      <c r="B238" s="1">
        <v>31</v>
      </c>
      <c r="C238" s="1">
        <v>805966201</v>
      </c>
      <c r="D238" s="1">
        <v>1029200800</v>
      </c>
      <c r="E238" s="1">
        <f t="shared" si="20"/>
        <v>-223234599</v>
      </c>
      <c r="F238" s="1">
        <f t="shared" si="21"/>
        <v>223234599</v>
      </c>
      <c r="G238" s="1">
        <f t="shared" si="22"/>
        <v>88</v>
      </c>
      <c r="H238" s="1">
        <f t="shared" si="23"/>
        <v>0</v>
      </c>
      <c r="I238" s="1">
        <f t="shared" si="24"/>
        <v>88</v>
      </c>
    </row>
    <row r="239" spans="1:9" x14ac:dyDescent="0.25">
      <c r="A239" s="1" t="s">
        <v>19</v>
      </c>
      <c r="B239" s="1">
        <v>32</v>
      </c>
      <c r="C239" s="1">
        <v>806975200</v>
      </c>
      <c r="D239" s="1">
        <v>1017507600</v>
      </c>
      <c r="E239" s="1">
        <f t="shared" si="20"/>
        <v>-210532400</v>
      </c>
      <c r="F239" s="1">
        <f t="shared" si="21"/>
        <v>210532400</v>
      </c>
      <c r="G239" s="1">
        <f t="shared" si="22"/>
        <v>51</v>
      </c>
      <c r="H239" s="1">
        <f t="shared" si="23"/>
        <v>0</v>
      </c>
      <c r="I239" s="1">
        <f t="shared" si="24"/>
        <v>51</v>
      </c>
    </row>
    <row r="240" spans="1:9" x14ac:dyDescent="0.25">
      <c r="A240" s="1" t="s">
        <v>19</v>
      </c>
      <c r="B240" s="1">
        <v>33</v>
      </c>
      <c r="C240" s="1">
        <v>805531900</v>
      </c>
      <c r="D240" s="1">
        <v>1030994300</v>
      </c>
      <c r="E240" s="1">
        <f t="shared" si="20"/>
        <v>-225462400</v>
      </c>
      <c r="F240" s="1">
        <f t="shared" si="21"/>
        <v>225462400</v>
      </c>
      <c r="G240" s="1">
        <f t="shared" si="22"/>
        <v>92</v>
      </c>
      <c r="H240" s="1">
        <f t="shared" si="23"/>
        <v>0</v>
      </c>
      <c r="I240" s="1">
        <f t="shared" si="24"/>
        <v>92</v>
      </c>
    </row>
    <row r="241" spans="1:9" x14ac:dyDescent="0.25">
      <c r="A241" s="1" t="s">
        <v>19</v>
      </c>
      <c r="B241" s="1">
        <v>34</v>
      </c>
      <c r="C241" s="1">
        <v>805220501</v>
      </c>
      <c r="D241" s="1">
        <v>1024105700</v>
      </c>
      <c r="E241" s="1">
        <f t="shared" si="20"/>
        <v>-218885199</v>
      </c>
      <c r="F241" s="1">
        <f t="shared" si="21"/>
        <v>218885199</v>
      </c>
      <c r="G241" s="1">
        <f t="shared" si="22"/>
        <v>84</v>
      </c>
      <c r="H241" s="1">
        <f t="shared" si="23"/>
        <v>0</v>
      </c>
      <c r="I241" s="1">
        <f t="shared" si="24"/>
        <v>84</v>
      </c>
    </row>
    <row r="242" spans="1:9" x14ac:dyDescent="0.25">
      <c r="A242" s="1" t="s">
        <v>19</v>
      </c>
      <c r="B242" s="1">
        <v>35</v>
      </c>
      <c r="C242" s="1">
        <v>805545400</v>
      </c>
      <c r="D242" s="1">
        <v>1020450400</v>
      </c>
      <c r="E242" s="1">
        <f t="shared" si="20"/>
        <v>-214905000</v>
      </c>
      <c r="F242" s="1">
        <f t="shared" si="21"/>
        <v>214905000</v>
      </c>
      <c r="G242" s="1">
        <f t="shared" si="22"/>
        <v>71</v>
      </c>
      <c r="H242" s="1">
        <f t="shared" si="23"/>
        <v>0</v>
      </c>
      <c r="I242" s="1">
        <f t="shared" si="24"/>
        <v>71</v>
      </c>
    </row>
    <row r="243" spans="1:9" x14ac:dyDescent="0.25">
      <c r="A243" s="1" t="s">
        <v>19</v>
      </c>
      <c r="B243" s="1">
        <v>36</v>
      </c>
      <c r="C243" s="1">
        <v>818320300</v>
      </c>
      <c r="D243" s="1">
        <v>1035357100</v>
      </c>
      <c r="E243" s="1">
        <f t="shared" si="20"/>
        <v>-217036800</v>
      </c>
      <c r="F243" s="1">
        <f t="shared" si="21"/>
        <v>217036800</v>
      </c>
      <c r="G243" s="1">
        <f t="shared" si="22"/>
        <v>79</v>
      </c>
      <c r="H243" s="1">
        <f t="shared" si="23"/>
        <v>0</v>
      </c>
      <c r="I243" s="1">
        <f t="shared" si="24"/>
        <v>79</v>
      </c>
    </row>
    <row r="244" spans="1:9" x14ac:dyDescent="0.25">
      <c r="A244" s="1" t="s">
        <v>19</v>
      </c>
      <c r="B244" s="1">
        <v>37</v>
      </c>
      <c r="C244" s="1">
        <v>817510499</v>
      </c>
      <c r="D244" s="1">
        <v>1033494600</v>
      </c>
      <c r="E244" s="1">
        <f t="shared" si="20"/>
        <v>-215984101</v>
      </c>
      <c r="F244" s="1">
        <f t="shared" si="21"/>
        <v>215984101</v>
      </c>
      <c r="G244" s="1">
        <f t="shared" si="22"/>
        <v>75</v>
      </c>
      <c r="H244" s="1">
        <f t="shared" si="23"/>
        <v>0</v>
      </c>
      <c r="I244" s="1">
        <f t="shared" si="24"/>
        <v>75</v>
      </c>
    </row>
    <row r="245" spans="1:9" x14ac:dyDescent="0.25">
      <c r="A245" s="1" t="s">
        <v>19</v>
      </c>
      <c r="B245" s="1">
        <v>38</v>
      </c>
      <c r="C245" s="1">
        <v>809865200</v>
      </c>
      <c r="D245" s="1">
        <v>1021241200</v>
      </c>
      <c r="E245" s="1">
        <f t="shared" si="20"/>
        <v>-211376000</v>
      </c>
      <c r="F245" s="1">
        <f t="shared" si="21"/>
        <v>211376000</v>
      </c>
      <c r="G245" s="1">
        <f t="shared" si="22"/>
        <v>54</v>
      </c>
      <c r="H245" s="1">
        <f t="shared" si="23"/>
        <v>0</v>
      </c>
      <c r="I245" s="1">
        <f t="shared" si="24"/>
        <v>54</v>
      </c>
    </row>
    <row r="246" spans="1:9" x14ac:dyDescent="0.25">
      <c r="A246" s="1" t="s">
        <v>19</v>
      </c>
      <c r="B246" s="1">
        <v>39</v>
      </c>
      <c r="C246" s="1">
        <v>810516401</v>
      </c>
      <c r="D246" s="1">
        <v>1014300900</v>
      </c>
      <c r="E246" s="1">
        <f t="shared" si="20"/>
        <v>-203784499</v>
      </c>
      <c r="F246" s="1">
        <f t="shared" si="21"/>
        <v>203784499</v>
      </c>
      <c r="G246" s="1">
        <f t="shared" si="22"/>
        <v>31</v>
      </c>
      <c r="H246" s="1">
        <f t="shared" si="23"/>
        <v>0</v>
      </c>
      <c r="I246" s="1">
        <f t="shared" si="24"/>
        <v>31</v>
      </c>
    </row>
    <row r="247" spans="1:9" x14ac:dyDescent="0.25">
      <c r="A247" s="1" t="s">
        <v>19</v>
      </c>
      <c r="B247" s="1">
        <v>40</v>
      </c>
      <c r="C247" s="1">
        <v>808940100</v>
      </c>
      <c r="D247" s="1">
        <v>1014924700</v>
      </c>
      <c r="E247" s="1">
        <f t="shared" si="20"/>
        <v>-205984600</v>
      </c>
      <c r="F247" s="1">
        <f t="shared" si="21"/>
        <v>205984600</v>
      </c>
      <c r="G247" s="1">
        <f t="shared" si="22"/>
        <v>40</v>
      </c>
      <c r="H247" s="1">
        <f t="shared" si="23"/>
        <v>0</v>
      </c>
      <c r="I247" s="1">
        <f t="shared" si="24"/>
        <v>40</v>
      </c>
    </row>
    <row r="248" spans="1:9" x14ac:dyDescent="0.25">
      <c r="A248" s="1" t="s">
        <v>19</v>
      </c>
      <c r="B248" s="1">
        <v>41</v>
      </c>
      <c r="C248" s="1">
        <v>811674700</v>
      </c>
      <c r="D248" s="1">
        <v>1016477000</v>
      </c>
      <c r="E248" s="1">
        <f t="shared" si="20"/>
        <v>-204802300</v>
      </c>
      <c r="F248" s="1">
        <f t="shared" si="21"/>
        <v>204802300</v>
      </c>
      <c r="G248" s="1">
        <f t="shared" si="22"/>
        <v>36</v>
      </c>
      <c r="H248" s="1">
        <f t="shared" si="23"/>
        <v>0</v>
      </c>
      <c r="I248" s="1">
        <f t="shared" si="24"/>
        <v>36</v>
      </c>
    </row>
    <row r="249" spans="1:9" x14ac:dyDescent="0.25">
      <c r="A249" s="1" t="s">
        <v>19</v>
      </c>
      <c r="B249" s="1">
        <v>42</v>
      </c>
      <c r="C249" s="1">
        <v>810336101</v>
      </c>
      <c r="D249" s="1">
        <v>1032704000</v>
      </c>
      <c r="E249" s="1">
        <f t="shared" si="20"/>
        <v>-222367899</v>
      </c>
      <c r="F249" s="1">
        <f t="shared" si="21"/>
        <v>222367899</v>
      </c>
      <c r="G249" s="1">
        <f t="shared" si="22"/>
        <v>87</v>
      </c>
      <c r="H249" s="1">
        <f t="shared" si="23"/>
        <v>0</v>
      </c>
      <c r="I249" s="1">
        <f t="shared" si="24"/>
        <v>87</v>
      </c>
    </row>
    <row r="250" spans="1:9" x14ac:dyDescent="0.25">
      <c r="A250" s="1" t="s">
        <v>19</v>
      </c>
      <c r="B250" s="1">
        <v>43</v>
      </c>
      <c r="C250" s="1">
        <v>813441799</v>
      </c>
      <c r="D250" s="1">
        <v>1046745900</v>
      </c>
      <c r="E250" s="1">
        <f t="shared" si="20"/>
        <v>-233304101</v>
      </c>
      <c r="F250" s="1">
        <f t="shared" si="21"/>
        <v>233304101</v>
      </c>
      <c r="G250" s="1">
        <f t="shared" si="22"/>
        <v>97</v>
      </c>
      <c r="H250" s="1">
        <f t="shared" si="23"/>
        <v>0</v>
      </c>
      <c r="I250" s="1">
        <f t="shared" si="24"/>
        <v>97</v>
      </c>
    </row>
    <row r="251" spans="1:9" x14ac:dyDescent="0.25">
      <c r="A251" s="1" t="s">
        <v>19</v>
      </c>
      <c r="B251" s="1">
        <v>44</v>
      </c>
      <c r="C251" s="1">
        <v>808812699</v>
      </c>
      <c r="D251" s="1">
        <v>1025089500</v>
      </c>
      <c r="E251" s="1">
        <f t="shared" si="20"/>
        <v>-216276801</v>
      </c>
      <c r="F251" s="1">
        <f t="shared" si="21"/>
        <v>216276801</v>
      </c>
      <c r="G251" s="1">
        <f t="shared" si="22"/>
        <v>77</v>
      </c>
      <c r="H251" s="1">
        <f t="shared" si="23"/>
        <v>0</v>
      </c>
      <c r="I251" s="1">
        <f t="shared" si="24"/>
        <v>77</v>
      </c>
    </row>
    <row r="252" spans="1:9" x14ac:dyDescent="0.25">
      <c r="A252" s="1" t="s">
        <v>19</v>
      </c>
      <c r="B252" s="1">
        <v>45</v>
      </c>
      <c r="C252" s="1">
        <v>808669500</v>
      </c>
      <c r="D252" s="1">
        <v>1017597800</v>
      </c>
      <c r="E252" s="1">
        <f t="shared" si="20"/>
        <v>-208928300</v>
      </c>
      <c r="F252" s="1">
        <f t="shared" si="21"/>
        <v>208928300</v>
      </c>
      <c r="G252" s="1">
        <f t="shared" si="22"/>
        <v>49</v>
      </c>
      <c r="H252" s="1">
        <f t="shared" si="23"/>
        <v>0</v>
      </c>
      <c r="I252" s="1">
        <f t="shared" si="24"/>
        <v>49</v>
      </c>
    </row>
    <row r="253" spans="1:9" x14ac:dyDescent="0.25">
      <c r="A253" s="1" t="s">
        <v>19</v>
      </c>
      <c r="B253" s="1">
        <v>46</v>
      </c>
      <c r="C253" s="1">
        <v>806663400</v>
      </c>
      <c r="D253" s="1">
        <v>1018941100</v>
      </c>
      <c r="E253" s="1">
        <f t="shared" si="20"/>
        <v>-212277700</v>
      </c>
      <c r="F253" s="1">
        <f t="shared" si="21"/>
        <v>212277700</v>
      </c>
      <c r="G253" s="1">
        <f t="shared" si="22"/>
        <v>59</v>
      </c>
      <c r="H253" s="1">
        <f t="shared" si="23"/>
        <v>0</v>
      </c>
      <c r="I253" s="1">
        <f t="shared" si="24"/>
        <v>59</v>
      </c>
    </row>
    <row r="254" spans="1:9" x14ac:dyDescent="0.25">
      <c r="A254" s="1" t="s">
        <v>19</v>
      </c>
      <c r="B254" s="1">
        <v>47</v>
      </c>
      <c r="C254" s="1">
        <v>806701599</v>
      </c>
      <c r="D254" s="1">
        <v>1044714100</v>
      </c>
      <c r="E254" s="1">
        <f t="shared" si="20"/>
        <v>-238012501</v>
      </c>
      <c r="F254" s="1">
        <f t="shared" si="21"/>
        <v>238012501</v>
      </c>
      <c r="G254" s="1">
        <f t="shared" si="22"/>
        <v>100</v>
      </c>
      <c r="H254" s="1">
        <f t="shared" si="23"/>
        <v>0</v>
      </c>
      <c r="I254" s="1">
        <f t="shared" si="24"/>
        <v>100</v>
      </c>
    </row>
    <row r="255" spans="1:9" x14ac:dyDescent="0.25">
      <c r="A255" s="1" t="s">
        <v>19</v>
      </c>
      <c r="B255" s="1">
        <v>48</v>
      </c>
      <c r="C255" s="1">
        <v>817978300</v>
      </c>
      <c r="D255" s="1">
        <v>1039779900</v>
      </c>
      <c r="E255" s="1">
        <f t="shared" si="20"/>
        <v>-221801600</v>
      </c>
      <c r="F255" s="1">
        <f t="shared" si="21"/>
        <v>221801600</v>
      </c>
      <c r="G255" s="1">
        <f t="shared" si="22"/>
        <v>86</v>
      </c>
      <c r="H255" s="1">
        <f t="shared" si="23"/>
        <v>0</v>
      </c>
      <c r="I255" s="1">
        <f t="shared" si="24"/>
        <v>86</v>
      </c>
    </row>
    <row r="256" spans="1:9" x14ac:dyDescent="0.25">
      <c r="A256" s="1" t="s">
        <v>19</v>
      </c>
      <c r="B256" s="1">
        <v>49</v>
      </c>
      <c r="C256" s="1">
        <v>808664201</v>
      </c>
      <c r="D256" s="1">
        <v>1020945500</v>
      </c>
      <c r="E256" s="1">
        <f t="shared" si="20"/>
        <v>-212281299</v>
      </c>
      <c r="F256" s="1">
        <f t="shared" si="21"/>
        <v>212281299</v>
      </c>
      <c r="G256" s="1">
        <f t="shared" si="22"/>
        <v>60</v>
      </c>
      <c r="H256" s="1">
        <f t="shared" si="23"/>
        <v>0</v>
      </c>
      <c r="I256" s="1">
        <f t="shared" si="24"/>
        <v>60</v>
      </c>
    </row>
    <row r="257" spans="1:9" x14ac:dyDescent="0.25">
      <c r="A257" s="1" t="s">
        <v>19</v>
      </c>
      <c r="B257" s="1">
        <v>50</v>
      </c>
      <c r="C257" s="1">
        <v>808148999</v>
      </c>
      <c r="D257" s="1">
        <v>1043176700</v>
      </c>
      <c r="E257" s="1">
        <f t="shared" si="20"/>
        <v>-235027701</v>
      </c>
      <c r="F257" s="1">
        <f t="shared" si="21"/>
        <v>235027701</v>
      </c>
      <c r="G257" s="1">
        <f t="shared" si="22"/>
        <v>98</v>
      </c>
      <c r="H257" s="1">
        <f t="shared" si="23"/>
        <v>0</v>
      </c>
      <c r="I257" s="1">
        <f t="shared" si="24"/>
        <v>98</v>
      </c>
    </row>
    <row r="258" spans="1:9" x14ac:dyDescent="0.25">
      <c r="A258" s="1" t="s">
        <v>19</v>
      </c>
      <c r="B258" s="1">
        <v>51</v>
      </c>
      <c r="C258" s="1">
        <v>808147500</v>
      </c>
      <c r="D258" s="1">
        <v>1029792600</v>
      </c>
      <c r="E258" s="1">
        <f t="shared" si="20"/>
        <v>-221645100</v>
      </c>
      <c r="F258" s="1">
        <f t="shared" si="21"/>
        <v>221645100</v>
      </c>
      <c r="G258" s="1">
        <f t="shared" si="22"/>
        <v>85</v>
      </c>
      <c r="H258" s="1">
        <f t="shared" si="23"/>
        <v>0</v>
      </c>
      <c r="I258" s="1">
        <f t="shared" si="24"/>
        <v>85</v>
      </c>
    </row>
    <row r="259" spans="1:9" x14ac:dyDescent="0.25">
      <c r="A259" s="1" t="s">
        <v>19</v>
      </c>
      <c r="B259" s="1">
        <v>52</v>
      </c>
      <c r="C259" s="1">
        <v>806024200</v>
      </c>
      <c r="D259" s="1">
        <v>1018209900</v>
      </c>
      <c r="E259" s="1">
        <f t="shared" si="20"/>
        <v>-212185700</v>
      </c>
      <c r="F259" s="1">
        <f t="shared" si="21"/>
        <v>212185700</v>
      </c>
      <c r="G259" s="1">
        <f t="shared" si="22"/>
        <v>58</v>
      </c>
      <c r="H259" s="1">
        <f t="shared" si="23"/>
        <v>0</v>
      </c>
      <c r="I259" s="1">
        <f t="shared" si="24"/>
        <v>58</v>
      </c>
    </row>
    <row r="260" spans="1:9" x14ac:dyDescent="0.25">
      <c r="A260" s="1" t="s">
        <v>19</v>
      </c>
      <c r="B260" s="1">
        <v>53</v>
      </c>
      <c r="C260" s="1">
        <v>816560100</v>
      </c>
      <c r="D260" s="1">
        <v>1018766800</v>
      </c>
      <c r="E260" s="1">
        <f t="shared" si="20"/>
        <v>-202206700</v>
      </c>
      <c r="F260" s="1">
        <f t="shared" si="21"/>
        <v>202206700</v>
      </c>
      <c r="G260" s="1">
        <f t="shared" si="22"/>
        <v>28</v>
      </c>
      <c r="H260" s="1">
        <f t="shared" si="23"/>
        <v>0</v>
      </c>
      <c r="I260" s="1">
        <f t="shared" si="24"/>
        <v>28</v>
      </c>
    </row>
    <row r="261" spans="1:9" x14ac:dyDescent="0.25">
      <c r="A261" s="1" t="s">
        <v>19</v>
      </c>
      <c r="B261" s="1">
        <v>54</v>
      </c>
      <c r="C261" s="1">
        <v>825637100</v>
      </c>
      <c r="D261" s="1">
        <v>1029762800</v>
      </c>
      <c r="E261" s="1">
        <f t="shared" si="20"/>
        <v>-204125700</v>
      </c>
      <c r="F261" s="1">
        <f t="shared" si="21"/>
        <v>204125700</v>
      </c>
      <c r="G261" s="1">
        <f t="shared" si="22"/>
        <v>32</v>
      </c>
      <c r="H261" s="1">
        <f t="shared" si="23"/>
        <v>0</v>
      </c>
      <c r="I261" s="1">
        <f t="shared" si="24"/>
        <v>32</v>
      </c>
    </row>
    <row r="262" spans="1:9" x14ac:dyDescent="0.25">
      <c r="A262" s="1" t="s">
        <v>19</v>
      </c>
      <c r="B262" s="1">
        <v>55</v>
      </c>
      <c r="C262" s="1">
        <v>820015900</v>
      </c>
      <c r="D262" s="1">
        <v>1021945400</v>
      </c>
      <c r="E262" s="1">
        <f t="shared" si="20"/>
        <v>-201929500</v>
      </c>
      <c r="F262" s="1">
        <f t="shared" si="21"/>
        <v>201929500</v>
      </c>
      <c r="G262" s="1">
        <f t="shared" si="22"/>
        <v>25</v>
      </c>
      <c r="H262" s="1">
        <f t="shared" si="23"/>
        <v>0</v>
      </c>
      <c r="I262" s="1">
        <f t="shared" si="24"/>
        <v>25</v>
      </c>
    </row>
    <row r="263" spans="1:9" x14ac:dyDescent="0.25">
      <c r="A263" s="1" t="s">
        <v>19</v>
      </c>
      <c r="B263" s="1">
        <v>56</v>
      </c>
      <c r="C263" s="1">
        <v>819741599</v>
      </c>
      <c r="D263" s="1">
        <v>1025642300</v>
      </c>
      <c r="E263" s="1">
        <f t="shared" si="20"/>
        <v>-205900701</v>
      </c>
      <c r="F263" s="1">
        <f t="shared" si="21"/>
        <v>205900701</v>
      </c>
      <c r="G263" s="1">
        <f t="shared" si="22"/>
        <v>39</v>
      </c>
      <c r="H263" s="1">
        <f t="shared" si="23"/>
        <v>0</v>
      </c>
      <c r="I263" s="1">
        <f t="shared" si="24"/>
        <v>39</v>
      </c>
    </row>
    <row r="264" spans="1:9" x14ac:dyDescent="0.25">
      <c r="A264" s="1" t="s">
        <v>19</v>
      </c>
      <c r="B264" s="1">
        <v>57</v>
      </c>
      <c r="C264" s="1">
        <v>816860700</v>
      </c>
      <c r="D264" s="1">
        <v>1020197400</v>
      </c>
      <c r="E264" s="1">
        <f t="shared" si="20"/>
        <v>-203336700</v>
      </c>
      <c r="F264" s="1">
        <f t="shared" si="21"/>
        <v>203336700</v>
      </c>
      <c r="G264" s="1">
        <f t="shared" si="22"/>
        <v>30</v>
      </c>
      <c r="H264" s="1">
        <f t="shared" si="23"/>
        <v>0</v>
      </c>
      <c r="I264" s="1">
        <f t="shared" si="24"/>
        <v>30</v>
      </c>
    </row>
    <row r="265" spans="1:9" x14ac:dyDescent="0.25">
      <c r="A265" s="1" t="s">
        <v>19</v>
      </c>
      <c r="B265" s="1">
        <v>58</v>
      </c>
      <c r="C265" s="1">
        <v>825043299</v>
      </c>
      <c r="D265" s="1">
        <v>1031531800</v>
      </c>
      <c r="E265" s="1">
        <f t="shared" si="20"/>
        <v>-206488501</v>
      </c>
      <c r="F265" s="1">
        <f t="shared" si="21"/>
        <v>206488501</v>
      </c>
      <c r="G265" s="1">
        <f t="shared" si="22"/>
        <v>42</v>
      </c>
      <c r="H265" s="1">
        <f t="shared" si="23"/>
        <v>0</v>
      </c>
      <c r="I265" s="1">
        <f t="shared" si="24"/>
        <v>42</v>
      </c>
    </row>
    <row r="266" spans="1:9" x14ac:dyDescent="0.25">
      <c r="A266" s="1" t="s">
        <v>19</v>
      </c>
      <c r="B266" s="1">
        <v>59</v>
      </c>
      <c r="C266" s="1">
        <v>838838101</v>
      </c>
      <c r="D266" s="1">
        <v>1033134200</v>
      </c>
      <c r="E266" s="1">
        <f t="shared" si="20"/>
        <v>-194296099</v>
      </c>
      <c r="F266" s="1">
        <f t="shared" si="21"/>
        <v>194296099</v>
      </c>
      <c r="G266" s="1">
        <f t="shared" si="22"/>
        <v>13</v>
      </c>
      <c r="H266" s="1">
        <f t="shared" si="23"/>
        <v>0</v>
      </c>
      <c r="I266" s="1">
        <f t="shared" si="24"/>
        <v>13</v>
      </c>
    </row>
    <row r="267" spans="1:9" x14ac:dyDescent="0.25">
      <c r="A267" s="1" t="s">
        <v>19</v>
      </c>
      <c r="B267" s="1">
        <v>60</v>
      </c>
      <c r="C267" s="1">
        <v>814353000</v>
      </c>
      <c r="D267" s="1">
        <v>1019449800</v>
      </c>
      <c r="E267" s="1">
        <f t="shared" si="20"/>
        <v>-205096800</v>
      </c>
      <c r="F267" s="1">
        <f t="shared" si="21"/>
        <v>205096800</v>
      </c>
      <c r="G267" s="1">
        <f t="shared" si="22"/>
        <v>38</v>
      </c>
      <c r="H267" s="1">
        <f t="shared" si="23"/>
        <v>0</v>
      </c>
      <c r="I267" s="1">
        <f t="shared" si="24"/>
        <v>38</v>
      </c>
    </row>
    <row r="268" spans="1:9" x14ac:dyDescent="0.25">
      <c r="A268" s="1" t="s">
        <v>19</v>
      </c>
      <c r="B268" s="1">
        <v>61</v>
      </c>
      <c r="C268" s="1">
        <v>811710200</v>
      </c>
      <c r="D268" s="1">
        <v>1015982500</v>
      </c>
      <c r="E268" s="1">
        <f t="shared" si="20"/>
        <v>-204272300</v>
      </c>
      <c r="F268" s="1">
        <f t="shared" si="21"/>
        <v>204272300</v>
      </c>
      <c r="G268" s="1">
        <f t="shared" si="22"/>
        <v>34</v>
      </c>
      <c r="H268" s="1">
        <f t="shared" si="23"/>
        <v>0</v>
      </c>
      <c r="I268" s="1">
        <f t="shared" si="24"/>
        <v>34</v>
      </c>
    </row>
    <row r="269" spans="1:9" x14ac:dyDescent="0.25">
      <c r="A269" s="1" t="s">
        <v>19</v>
      </c>
      <c r="B269" s="1">
        <v>62</v>
      </c>
      <c r="C269" s="1">
        <v>807447300</v>
      </c>
      <c r="D269" s="1">
        <v>1015992300</v>
      </c>
      <c r="E269" s="1">
        <f t="shared" si="20"/>
        <v>-208545000</v>
      </c>
      <c r="F269" s="1">
        <f t="shared" si="21"/>
        <v>208545000</v>
      </c>
      <c r="G269" s="1">
        <f t="shared" si="22"/>
        <v>48</v>
      </c>
      <c r="H269" s="1">
        <f t="shared" si="23"/>
        <v>0</v>
      </c>
      <c r="I269" s="1">
        <f t="shared" si="24"/>
        <v>48</v>
      </c>
    </row>
    <row r="270" spans="1:9" x14ac:dyDescent="0.25">
      <c r="A270" s="1" t="s">
        <v>19</v>
      </c>
      <c r="B270" s="1">
        <v>63</v>
      </c>
      <c r="C270" s="1">
        <v>810125300</v>
      </c>
      <c r="D270" s="1">
        <v>1016975500</v>
      </c>
      <c r="E270" s="1">
        <f t="shared" si="20"/>
        <v>-206850200</v>
      </c>
      <c r="F270" s="1">
        <f t="shared" si="21"/>
        <v>206850200</v>
      </c>
      <c r="G270" s="1">
        <f t="shared" si="22"/>
        <v>45</v>
      </c>
      <c r="H270" s="1">
        <f t="shared" si="23"/>
        <v>0</v>
      </c>
      <c r="I270" s="1">
        <f t="shared" si="24"/>
        <v>45</v>
      </c>
    </row>
    <row r="271" spans="1:9" x14ac:dyDescent="0.25">
      <c r="A271" s="1" t="s">
        <v>19</v>
      </c>
      <c r="B271" s="1">
        <v>64</v>
      </c>
      <c r="C271" s="1">
        <v>809013700</v>
      </c>
      <c r="D271" s="1">
        <v>1015419200</v>
      </c>
      <c r="E271" s="1">
        <f t="shared" si="20"/>
        <v>-206405500</v>
      </c>
      <c r="F271" s="1">
        <f t="shared" si="21"/>
        <v>206405500</v>
      </c>
      <c r="G271" s="1">
        <f t="shared" si="22"/>
        <v>41</v>
      </c>
      <c r="H271" s="1">
        <f t="shared" si="23"/>
        <v>0</v>
      </c>
      <c r="I271" s="1">
        <f t="shared" si="24"/>
        <v>41</v>
      </c>
    </row>
    <row r="272" spans="1:9" x14ac:dyDescent="0.25">
      <c r="A272" s="1" t="s">
        <v>19</v>
      </c>
      <c r="B272" s="1">
        <v>65</v>
      </c>
      <c r="C272" s="1">
        <v>835267899</v>
      </c>
      <c r="D272" s="1">
        <v>1026639800</v>
      </c>
      <c r="E272" s="1">
        <f t="shared" si="20"/>
        <v>-191371901</v>
      </c>
      <c r="F272" s="1">
        <f t="shared" si="21"/>
        <v>191371901</v>
      </c>
      <c r="G272" s="1">
        <f t="shared" si="22"/>
        <v>9</v>
      </c>
      <c r="H272" s="1">
        <f t="shared" si="23"/>
        <v>0</v>
      </c>
      <c r="I272" s="1">
        <f t="shared" si="24"/>
        <v>9</v>
      </c>
    </row>
    <row r="273" spans="1:9" x14ac:dyDescent="0.25">
      <c r="A273" s="1" t="s">
        <v>19</v>
      </c>
      <c r="B273" s="1">
        <v>66</v>
      </c>
      <c r="C273" s="1">
        <v>813954300</v>
      </c>
      <c r="D273" s="1">
        <v>1014028100</v>
      </c>
      <c r="E273" s="1">
        <f t="shared" ref="E273:E307" si="25">C273-D273</f>
        <v>-200073800</v>
      </c>
      <c r="F273" s="1">
        <f t="shared" ref="F273:F307" si="26">ABS(E273)</f>
        <v>200073800</v>
      </c>
      <c r="G273" s="1">
        <f t="shared" ref="G273:G307" si="27">_xlfn.RANK.AVG(F273,$F$208:$F$307,1)</f>
        <v>22</v>
      </c>
      <c r="H273" s="1">
        <f t="shared" ref="H273:H307" si="28">IF(E273&gt;0,G273,0)</f>
        <v>0</v>
      </c>
      <c r="I273" s="1">
        <f t="shared" ref="I273:I307" si="29">IF(E273&lt;0,G273,0)</f>
        <v>22</v>
      </c>
    </row>
    <row r="274" spans="1:9" x14ac:dyDescent="0.25">
      <c r="A274" s="1" t="s">
        <v>19</v>
      </c>
      <c r="B274" s="1">
        <v>67</v>
      </c>
      <c r="C274" s="1">
        <v>817487999</v>
      </c>
      <c r="D274" s="1">
        <v>1018519300</v>
      </c>
      <c r="E274" s="1">
        <f t="shared" si="25"/>
        <v>-201031301</v>
      </c>
      <c r="F274" s="1">
        <f t="shared" si="26"/>
        <v>201031301</v>
      </c>
      <c r="G274" s="1">
        <f t="shared" si="27"/>
        <v>24</v>
      </c>
      <c r="H274" s="1">
        <f t="shared" si="28"/>
        <v>0</v>
      </c>
      <c r="I274" s="1">
        <f t="shared" si="29"/>
        <v>24</v>
      </c>
    </row>
    <row r="275" spans="1:9" x14ac:dyDescent="0.25">
      <c r="A275" s="1" t="s">
        <v>19</v>
      </c>
      <c r="B275" s="1">
        <v>68</v>
      </c>
      <c r="C275" s="1">
        <v>821203901</v>
      </c>
      <c r="D275" s="1">
        <v>1017783400</v>
      </c>
      <c r="E275" s="1">
        <f t="shared" si="25"/>
        <v>-196579499</v>
      </c>
      <c r="F275" s="1">
        <f t="shared" si="26"/>
        <v>196579499</v>
      </c>
      <c r="G275" s="1">
        <f t="shared" si="27"/>
        <v>15</v>
      </c>
      <c r="H275" s="1">
        <f t="shared" si="28"/>
        <v>0</v>
      </c>
      <c r="I275" s="1">
        <f t="shared" si="29"/>
        <v>15</v>
      </c>
    </row>
    <row r="276" spans="1:9" x14ac:dyDescent="0.25">
      <c r="A276" s="1" t="s">
        <v>19</v>
      </c>
      <c r="B276" s="1">
        <v>69</v>
      </c>
      <c r="C276" s="1">
        <v>824700500</v>
      </c>
      <c r="D276" s="1">
        <v>1018334600</v>
      </c>
      <c r="E276" s="1">
        <f t="shared" si="25"/>
        <v>-193634100</v>
      </c>
      <c r="F276" s="1">
        <f t="shared" si="26"/>
        <v>193634100</v>
      </c>
      <c r="G276" s="1">
        <f t="shared" si="27"/>
        <v>12</v>
      </c>
      <c r="H276" s="1">
        <f t="shared" si="28"/>
        <v>0</v>
      </c>
      <c r="I276" s="1">
        <f t="shared" si="29"/>
        <v>12</v>
      </c>
    </row>
    <row r="277" spans="1:9" x14ac:dyDescent="0.25">
      <c r="A277" s="1" t="s">
        <v>19</v>
      </c>
      <c r="B277" s="1">
        <v>70</v>
      </c>
      <c r="C277" s="1">
        <v>829367599</v>
      </c>
      <c r="D277" s="1">
        <v>1035925100</v>
      </c>
      <c r="E277" s="1">
        <f t="shared" si="25"/>
        <v>-206557501</v>
      </c>
      <c r="F277" s="1">
        <f t="shared" si="26"/>
        <v>206557501</v>
      </c>
      <c r="G277" s="1">
        <f t="shared" si="27"/>
        <v>43</v>
      </c>
      <c r="H277" s="1">
        <f t="shared" si="28"/>
        <v>0</v>
      </c>
      <c r="I277" s="1">
        <f t="shared" si="29"/>
        <v>43</v>
      </c>
    </row>
    <row r="278" spans="1:9" x14ac:dyDescent="0.25">
      <c r="A278" s="1" t="s">
        <v>19</v>
      </c>
      <c r="B278" s="1">
        <v>71</v>
      </c>
      <c r="C278" s="1">
        <v>830085900</v>
      </c>
      <c r="D278" s="1">
        <v>1013183000</v>
      </c>
      <c r="E278" s="1">
        <f t="shared" si="25"/>
        <v>-183097100</v>
      </c>
      <c r="F278" s="1">
        <f t="shared" si="26"/>
        <v>183097100</v>
      </c>
      <c r="G278" s="1">
        <f t="shared" si="27"/>
        <v>4</v>
      </c>
      <c r="H278" s="1">
        <f t="shared" si="28"/>
        <v>0</v>
      </c>
      <c r="I278" s="1">
        <f t="shared" si="29"/>
        <v>4</v>
      </c>
    </row>
    <row r="279" spans="1:9" x14ac:dyDescent="0.25">
      <c r="A279" s="1" t="s">
        <v>19</v>
      </c>
      <c r="B279" s="1">
        <v>72</v>
      </c>
      <c r="C279" s="1">
        <v>831058900</v>
      </c>
      <c r="D279" s="1">
        <v>1019345800</v>
      </c>
      <c r="E279" s="1">
        <f t="shared" si="25"/>
        <v>-188286900</v>
      </c>
      <c r="F279" s="1">
        <f t="shared" si="26"/>
        <v>188286900</v>
      </c>
      <c r="G279" s="1">
        <f t="shared" si="27"/>
        <v>7</v>
      </c>
      <c r="H279" s="1">
        <f t="shared" si="28"/>
        <v>0</v>
      </c>
      <c r="I279" s="1">
        <f t="shared" si="29"/>
        <v>7</v>
      </c>
    </row>
    <row r="280" spans="1:9" x14ac:dyDescent="0.25">
      <c r="A280" s="1" t="s">
        <v>19</v>
      </c>
      <c r="B280" s="1">
        <v>73</v>
      </c>
      <c r="C280" s="1">
        <v>809653200</v>
      </c>
      <c r="D280" s="1">
        <v>1013890100</v>
      </c>
      <c r="E280" s="1">
        <f t="shared" si="25"/>
        <v>-204236900</v>
      </c>
      <c r="F280" s="1">
        <f t="shared" si="26"/>
        <v>204236900</v>
      </c>
      <c r="G280" s="1">
        <f t="shared" si="27"/>
        <v>33</v>
      </c>
      <c r="H280" s="1">
        <f t="shared" si="28"/>
        <v>0</v>
      </c>
      <c r="I280" s="1">
        <f t="shared" si="29"/>
        <v>33</v>
      </c>
    </row>
    <row r="281" spans="1:9" x14ac:dyDescent="0.25">
      <c r="A281" s="1" t="s">
        <v>19</v>
      </c>
      <c r="B281" s="1">
        <v>74</v>
      </c>
      <c r="C281" s="1">
        <v>809427800</v>
      </c>
      <c r="D281" s="1">
        <v>1018865800</v>
      </c>
      <c r="E281" s="1">
        <f t="shared" si="25"/>
        <v>-209438000</v>
      </c>
      <c r="F281" s="1">
        <f t="shared" si="26"/>
        <v>209438000</v>
      </c>
      <c r="G281" s="1">
        <f t="shared" si="27"/>
        <v>50</v>
      </c>
      <c r="H281" s="1">
        <f t="shared" si="28"/>
        <v>0</v>
      </c>
      <c r="I281" s="1">
        <f t="shared" si="29"/>
        <v>50</v>
      </c>
    </row>
    <row r="282" spans="1:9" x14ac:dyDescent="0.25">
      <c r="A282" s="1" t="s">
        <v>19</v>
      </c>
      <c r="B282" s="1">
        <v>75</v>
      </c>
      <c r="C282" s="1">
        <v>808164800</v>
      </c>
      <c r="D282" s="1">
        <v>1015320700</v>
      </c>
      <c r="E282" s="1">
        <f t="shared" si="25"/>
        <v>-207155900</v>
      </c>
      <c r="F282" s="1">
        <f t="shared" si="26"/>
        <v>207155900</v>
      </c>
      <c r="G282" s="1">
        <f t="shared" si="27"/>
        <v>46</v>
      </c>
      <c r="H282" s="1">
        <f t="shared" si="28"/>
        <v>0</v>
      </c>
      <c r="I282" s="1">
        <f t="shared" si="29"/>
        <v>46</v>
      </c>
    </row>
    <row r="283" spans="1:9" x14ac:dyDescent="0.25">
      <c r="A283" s="1" t="s">
        <v>19</v>
      </c>
      <c r="B283" s="1">
        <v>76</v>
      </c>
      <c r="C283" s="1">
        <v>809157501</v>
      </c>
      <c r="D283" s="1">
        <v>1026515500</v>
      </c>
      <c r="E283" s="1">
        <f t="shared" si="25"/>
        <v>-217357999</v>
      </c>
      <c r="F283" s="1">
        <f t="shared" si="26"/>
        <v>217357999</v>
      </c>
      <c r="G283" s="1">
        <f t="shared" si="27"/>
        <v>82</v>
      </c>
      <c r="H283" s="1">
        <f t="shared" si="28"/>
        <v>0</v>
      </c>
      <c r="I283" s="1">
        <f t="shared" si="29"/>
        <v>82</v>
      </c>
    </row>
    <row r="284" spans="1:9" x14ac:dyDescent="0.25">
      <c r="A284" s="1" t="s">
        <v>19</v>
      </c>
      <c r="B284" s="1">
        <v>77</v>
      </c>
      <c r="C284" s="1">
        <v>817570999</v>
      </c>
      <c r="D284" s="1">
        <v>1029855100</v>
      </c>
      <c r="E284" s="1">
        <f t="shared" si="25"/>
        <v>-212284101</v>
      </c>
      <c r="F284" s="1">
        <f t="shared" si="26"/>
        <v>212284101</v>
      </c>
      <c r="G284" s="1">
        <f t="shared" si="27"/>
        <v>61</v>
      </c>
      <c r="H284" s="1">
        <f t="shared" si="28"/>
        <v>0</v>
      </c>
      <c r="I284" s="1">
        <f t="shared" si="29"/>
        <v>61</v>
      </c>
    </row>
    <row r="285" spans="1:9" x14ac:dyDescent="0.25">
      <c r="A285" s="1" t="s">
        <v>19</v>
      </c>
      <c r="B285" s="1">
        <v>78</v>
      </c>
      <c r="C285" s="1">
        <v>818884000</v>
      </c>
      <c r="D285" s="1">
        <v>1017961800</v>
      </c>
      <c r="E285" s="1">
        <f t="shared" si="25"/>
        <v>-199077800</v>
      </c>
      <c r="F285" s="1">
        <f t="shared" si="26"/>
        <v>199077800</v>
      </c>
      <c r="G285" s="1">
        <f t="shared" si="27"/>
        <v>20</v>
      </c>
      <c r="H285" s="1">
        <f t="shared" si="28"/>
        <v>0</v>
      </c>
      <c r="I285" s="1">
        <f t="shared" si="29"/>
        <v>20</v>
      </c>
    </row>
    <row r="286" spans="1:9" x14ac:dyDescent="0.25">
      <c r="A286" s="1" t="s">
        <v>19</v>
      </c>
      <c r="B286" s="1">
        <v>79</v>
      </c>
      <c r="C286" s="1">
        <v>812299000</v>
      </c>
      <c r="D286" s="1">
        <v>1028249000</v>
      </c>
      <c r="E286" s="1">
        <f t="shared" si="25"/>
        <v>-215950000</v>
      </c>
      <c r="F286" s="1">
        <f t="shared" si="26"/>
        <v>215950000</v>
      </c>
      <c r="G286" s="1">
        <f t="shared" si="27"/>
        <v>74</v>
      </c>
      <c r="H286" s="1">
        <f t="shared" si="28"/>
        <v>0</v>
      </c>
      <c r="I286" s="1">
        <f t="shared" si="29"/>
        <v>74</v>
      </c>
    </row>
    <row r="287" spans="1:9" x14ac:dyDescent="0.25">
      <c r="A287" s="1" t="s">
        <v>19</v>
      </c>
      <c r="B287" s="1">
        <v>80</v>
      </c>
      <c r="C287" s="1">
        <v>805675201</v>
      </c>
      <c r="D287" s="1">
        <v>1017079900</v>
      </c>
      <c r="E287" s="1">
        <f t="shared" si="25"/>
        <v>-211404699</v>
      </c>
      <c r="F287" s="1">
        <f t="shared" si="26"/>
        <v>211404699</v>
      </c>
      <c r="G287" s="1">
        <f t="shared" si="27"/>
        <v>55</v>
      </c>
      <c r="H287" s="1">
        <f t="shared" si="28"/>
        <v>0</v>
      </c>
      <c r="I287" s="1">
        <f t="shared" si="29"/>
        <v>55</v>
      </c>
    </row>
    <row r="288" spans="1:9" x14ac:dyDescent="0.25">
      <c r="A288" s="1" t="s">
        <v>19</v>
      </c>
      <c r="B288" s="1">
        <v>81</v>
      </c>
      <c r="C288" s="1">
        <v>805407400</v>
      </c>
      <c r="D288" s="1">
        <v>1021207500</v>
      </c>
      <c r="E288" s="1">
        <f t="shared" si="25"/>
        <v>-215800100</v>
      </c>
      <c r="F288" s="1">
        <f t="shared" si="26"/>
        <v>215800100</v>
      </c>
      <c r="G288" s="1">
        <f t="shared" si="27"/>
        <v>73</v>
      </c>
      <c r="H288" s="1">
        <f t="shared" si="28"/>
        <v>0</v>
      </c>
      <c r="I288" s="1">
        <f t="shared" si="29"/>
        <v>73</v>
      </c>
    </row>
    <row r="289" spans="1:9" x14ac:dyDescent="0.25">
      <c r="A289" s="1" t="s">
        <v>19</v>
      </c>
      <c r="B289" s="1">
        <v>82</v>
      </c>
      <c r="C289" s="1">
        <v>806660000</v>
      </c>
      <c r="D289" s="1">
        <v>1018548800</v>
      </c>
      <c r="E289" s="1">
        <f t="shared" si="25"/>
        <v>-211888800</v>
      </c>
      <c r="F289" s="1">
        <f t="shared" si="26"/>
        <v>211888800</v>
      </c>
      <c r="G289" s="1">
        <f t="shared" si="27"/>
        <v>57</v>
      </c>
      <c r="H289" s="1">
        <f t="shared" si="28"/>
        <v>0</v>
      </c>
      <c r="I289" s="1">
        <f t="shared" si="29"/>
        <v>57</v>
      </c>
    </row>
    <row r="290" spans="1:9" x14ac:dyDescent="0.25">
      <c r="A290" s="1" t="s">
        <v>19</v>
      </c>
      <c r="B290" s="1">
        <v>83</v>
      </c>
      <c r="C290" s="1">
        <v>815930600</v>
      </c>
      <c r="D290" s="1">
        <v>1042284400</v>
      </c>
      <c r="E290" s="1">
        <f t="shared" si="25"/>
        <v>-226353800</v>
      </c>
      <c r="F290" s="1">
        <f t="shared" si="26"/>
        <v>226353800</v>
      </c>
      <c r="G290" s="1">
        <f t="shared" si="27"/>
        <v>93</v>
      </c>
      <c r="H290" s="1">
        <f t="shared" si="28"/>
        <v>0</v>
      </c>
      <c r="I290" s="1">
        <f t="shared" si="29"/>
        <v>93</v>
      </c>
    </row>
    <row r="291" spans="1:9" x14ac:dyDescent="0.25">
      <c r="A291" s="1" t="s">
        <v>19</v>
      </c>
      <c r="B291" s="1">
        <v>84</v>
      </c>
      <c r="C291" s="1">
        <v>820068400</v>
      </c>
      <c r="D291" s="1">
        <v>1022032600</v>
      </c>
      <c r="E291" s="1">
        <f t="shared" si="25"/>
        <v>-201964200</v>
      </c>
      <c r="F291" s="1">
        <f t="shared" si="26"/>
        <v>201964200</v>
      </c>
      <c r="G291" s="1">
        <f t="shared" si="27"/>
        <v>26</v>
      </c>
      <c r="H291" s="1">
        <f t="shared" si="28"/>
        <v>0</v>
      </c>
      <c r="I291" s="1">
        <f t="shared" si="29"/>
        <v>26</v>
      </c>
    </row>
    <row r="292" spans="1:9" x14ac:dyDescent="0.25">
      <c r="A292" s="1" t="s">
        <v>19</v>
      </c>
      <c r="B292" s="1">
        <v>85</v>
      </c>
      <c r="C292" s="1">
        <v>815884801</v>
      </c>
      <c r="D292" s="1">
        <v>1031878900</v>
      </c>
      <c r="E292" s="1">
        <f t="shared" si="25"/>
        <v>-215994099</v>
      </c>
      <c r="F292" s="1">
        <f t="shared" si="26"/>
        <v>215994099</v>
      </c>
      <c r="G292" s="1">
        <f t="shared" si="27"/>
        <v>76</v>
      </c>
      <c r="H292" s="1">
        <f t="shared" si="28"/>
        <v>0</v>
      </c>
      <c r="I292" s="1">
        <f t="shared" si="29"/>
        <v>76</v>
      </c>
    </row>
    <row r="293" spans="1:9" x14ac:dyDescent="0.25">
      <c r="A293" s="1" t="s">
        <v>19</v>
      </c>
      <c r="B293" s="1">
        <v>86</v>
      </c>
      <c r="C293" s="1">
        <v>805933000</v>
      </c>
      <c r="D293" s="1">
        <v>1032451300</v>
      </c>
      <c r="E293" s="1">
        <f t="shared" si="25"/>
        <v>-226518300</v>
      </c>
      <c r="F293" s="1">
        <f t="shared" si="26"/>
        <v>226518300</v>
      </c>
      <c r="G293" s="1">
        <f t="shared" si="27"/>
        <v>94</v>
      </c>
      <c r="H293" s="1">
        <f t="shared" si="28"/>
        <v>0</v>
      </c>
      <c r="I293" s="1">
        <f t="shared" si="29"/>
        <v>94</v>
      </c>
    </row>
    <row r="294" spans="1:9" x14ac:dyDescent="0.25">
      <c r="A294" s="1" t="s">
        <v>19</v>
      </c>
      <c r="B294" s="1">
        <v>87</v>
      </c>
      <c r="C294" s="1">
        <v>805104601</v>
      </c>
      <c r="D294" s="1">
        <v>1018352100</v>
      </c>
      <c r="E294" s="1">
        <f t="shared" si="25"/>
        <v>-213247499</v>
      </c>
      <c r="F294" s="1">
        <f t="shared" si="26"/>
        <v>213247499</v>
      </c>
      <c r="G294" s="1">
        <f t="shared" si="27"/>
        <v>65</v>
      </c>
      <c r="H294" s="1">
        <f t="shared" si="28"/>
        <v>0</v>
      </c>
      <c r="I294" s="1">
        <f t="shared" si="29"/>
        <v>65</v>
      </c>
    </row>
    <row r="295" spans="1:9" x14ac:dyDescent="0.25">
      <c r="A295" s="1" t="s">
        <v>19</v>
      </c>
      <c r="B295" s="1">
        <v>88</v>
      </c>
      <c r="C295" s="1">
        <v>805599800</v>
      </c>
      <c r="D295" s="1">
        <v>1020414000</v>
      </c>
      <c r="E295" s="1">
        <f t="shared" si="25"/>
        <v>-214814200</v>
      </c>
      <c r="F295" s="1">
        <f t="shared" si="26"/>
        <v>214814200</v>
      </c>
      <c r="G295" s="1">
        <f t="shared" si="27"/>
        <v>70</v>
      </c>
      <c r="H295" s="1">
        <f t="shared" si="28"/>
        <v>0</v>
      </c>
      <c r="I295" s="1">
        <f t="shared" si="29"/>
        <v>70</v>
      </c>
    </row>
    <row r="296" spans="1:9" x14ac:dyDescent="0.25">
      <c r="A296" s="1" t="s">
        <v>19</v>
      </c>
      <c r="B296" s="1">
        <v>89</v>
      </c>
      <c r="C296" s="1">
        <v>805631601</v>
      </c>
      <c r="D296" s="1">
        <v>1018693200</v>
      </c>
      <c r="E296" s="1">
        <f t="shared" si="25"/>
        <v>-213061599</v>
      </c>
      <c r="F296" s="1">
        <f t="shared" si="26"/>
        <v>213061599</v>
      </c>
      <c r="G296" s="1">
        <f t="shared" si="27"/>
        <v>64</v>
      </c>
      <c r="H296" s="1">
        <f t="shared" si="28"/>
        <v>0</v>
      </c>
      <c r="I296" s="1">
        <f t="shared" si="29"/>
        <v>64</v>
      </c>
    </row>
    <row r="297" spans="1:9" x14ac:dyDescent="0.25">
      <c r="A297" s="1" t="s">
        <v>19</v>
      </c>
      <c r="B297" s="1">
        <v>90</v>
      </c>
      <c r="C297" s="1">
        <v>805329900</v>
      </c>
      <c r="D297" s="1">
        <v>1022516000</v>
      </c>
      <c r="E297" s="1">
        <f t="shared" si="25"/>
        <v>-217186100</v>
      </c>
      <c r="F297" s="1">
        <f t="shared" si="26"/>
        <v>217186100</v>
      </c>
      <c r="G297" s="1">
        <f t="shared" si="27"/>
        <v>80</v>
      </c>
      <c r="H297" s="1">
        <f t="shared" si="28"/>
        <v>0</v>
      </c>
      <c r="I297" s="1">
        <f t="shared" si="29"/>
        <v>80</v>
      </c>
    </row>
    <row r="298" spans="1:9" x14ac:dyDescent="0.25">
      <c r="A298" s="1" t="s">
        <v>19</v>
      </c>
      <c r="B298" s="1">
        <v>91</v>
      </c>
      <c r="C298" s="1">
        <v>821906999</v>
      </c>
      <c r="D298" s="1">
        <v>1030266100</v>
      </c>
      <c r="E298" s="1">
        <f t="shared" si="25"/>
        <v>-208359101</v>
      </c>
      <c r="F298" s="1">
        <f t="shared" si="26"/>
        <v>208359101</v>
      </c>
      <c r="G298" s="1">
        <f t="shared" si="27"/>
        <v>47</v>
      </c>
      <c r="H298" s="1">
        <f t="shared" si="28"/>
        <v>0</v>
      </c>
      <c r="I298" s="1">
        <f t="shared" si="29"/>
        <v>47</v>
      </c>
    </row>
    <row r="299" spans="1:9" x14ac:dyDescent="0.25">
      <c r="A299" s="1" t="s">
        <v>19</v>
      </c>
      <c r="B299" s="1">
        <v>92</v>
      </c>
      <c r="C299" s="1">
        <v>823830699</v>
      </c>
      <c r="D299" s="1">
        <v>1016928100</v>
      </c>
      <c r="E299" s="1">
        <f t="shared" si="25"/>
        <v>-193097401</v>
      </c>
      <c r="F299" s="1">
        <f t="shared" si="26"/>
        <v>193097401</v>
      </c>
      <c r="G299" s="1">
        <f t="shared" si="27"/>
        <v>11</v>
      </c>
      <c r="H299" s="1">
        <f t="shared" si="28"/>
        <v>0</v>
      </c>
      <c r="I299" s="1">
        <f t="shared" si="29"/>
        <v>11</v>
      </c>
    </row>
    <row r="300" spans="1:9" x14ac:dyDescent="0.25">
      <c r="A300" s="1" t="s">
        <v>19</v>
      </c>
      <c r="B300" s="1">
        <v>93</v>
      </c>
      <c r="C300" s="1">
        <v>829994800</v>
      </c>
      <c r="D300" s="1">
        <v>1017696700</v>
      </c>
      <c r="E300" s="1">
        <f t="shared" si="25"/>
        <v>-187701900</v>
      </c>
      <c r="F300" s="1">
        <f t="shared" si="26"/>
        <v>187701900</v>
      </c>
      <c r="G300" s="1">
        <f t="shared" si="27"/>
        <v>5</v>
      </c>
      <c r="H300" s="1">
        <f t="shared" si="28"/>
        <v>0</v>
      </c>
      <c r="I300" s="1">
        <f t="shared" si="29"/>
        <v>5</v>
      </c>
    </row>
    <row r="301" spans="1:9" x14ac:dyDescent="0.25">
      <c r="A301" s="1" t="s">
        <v>19</v>
      </c>
      <c r="B301" s="1">
        <v>94</v>
      </c>
      <c r="C301" s="1">
        <v>830197500</v>
      </c>
      <c r="D301" s="1">
        <v>1018223700</v>
      </c>
      <c r="E301" s="1">
        <f t="shared" si="25"/>
        <v>-188026200</v>
      </c>
      <c r="F301" s="1">
        <f t="shared" si="26"/>
        <v>188026200</v>
      </c>
      <c r="G301" s="1">
        <f t="shared" si="27"/>
        <v>6</v>
      </c>
      <c r="H301" s="1">
        <f t="shared" si="28"/>
        <v>0</v>
      </c>
      <c r="I301" s="1">
        <f t="shared" si="29"/>
        <v>6</v>
      </c>
    </row>
    <row r="302" spans="1:9" x14ac:dyDescent="0.25">
      <c r="A302" s="1" t="s">
        <v>19</v>
      </c>
      <c r="B302" s="1">
        <v>95</v>
      </c>
      <c r="C302" s="1">
        <v>823358799</v>
      </c>
      <c r="D302" s="1">
        <v>1019950900</v>
      </c>
      <c r="E302" s="1">
        <f t="shared" si="25"/>
        <v>-196592101</v>
      </c>
      <c r="F302" s="1">
        <f t="shared" si="26"/>
        <v>196592101</v>
      </c>
      <c r="G302" s="1">
        <f t="shared" si="27"/>
        <v>16</v>
      </c>
      <c r="H302" s="1">
        <f t="shared" si="28"/>
        <v>0</v>
      </c>
      <c r="I302" s="1">
        <f t="shared" si="29"/>
        <v>16</v>
      </c>
    </row>
    <row r="303" spans="1:9" x14ac:dyDescent="0.25">
      <c r="A303" s="1" t="s">
        <v>19</v>
      </c>
      <c r="B303" s="1">
        <v>96</v>
      </c>
      <c r="C303" s="1">
        <v>827539501</v>
      </c>
      <c r="D303" s="1">
        <v>1018013500</v>
      </c>
      <c r="E303" s="1">
        <f t="shared" si="25"/>
        <v>-190473999</v>
      </c>
      <c r="F303" s="1">
        <f t="shared" si="26"/>
        <v>190473999</v>
      </c>
      <c r="G303" s="1">
        <f t="shared" si="27"/>
        <v>8</v>
      </c>
      <c r="H303" s="1">
        <f t="shared" si="28"/>
        <v>0</v>
      </c>
      <c r="I303" s="1">
        <f t="shared" si="29"/>
        <v>8</v>
      </c>
    </row>
    <row r="304" spans="1:9" x14ac:dyDescent="0.25">
      <c r="A304" s="1" t="s">
        <v>19</v>
      </c>
      <c r="B304" s="1">
        <v>97</v>
      </c>
      <c r="C304" s="1">
        <v>815650699</v>
      </c>
      <c r="D304" s="1">
        <v>1017708600</v>
      </c>
      <c r="E304" s="1">
        <f t="shared" si="25"/>
        <v>-202057901</v>
      </c>
      <c r="F304" s="1">
        <f t="shared" si="26"/>
        <v>202057901</v>
      </c>
      <c r="G304" s="1">
        <f t="shared" si="27"/>
        <v>27</v>
      </c>
      <c r="H304" s="1">
        <f t="shared" si="28"/>
        <v>0</v>
      </c>
      <c r="I304" s="1">
        <f t="shared" si="29"/>
        <v>27</v>
      </c>
    </row>
    <row r="305" spans="1:9" x14ac:dyDescent="0.25">
      <c r="A305" s="1" t="s">
        <v>19</v>
      </c>
      <c r="B305" s="1">
        <v>98</v>
      </c>
      <c r="C305" s="1">
        <v>806689400</v>
      </c>
      <c r="D305" s="1">
        <v>1019372500</v>
      </c>
      <c r="E305" s="1">
        <f t="shared" si="25"/>
        <v>-212683100</v>
      </c>
      <c r="F305" s="1">
        <f t="shared" si="26"/>
        <v>212683100</v>
      </c>
      <c r="G305" s="1">
        <f t="shared" si="27"/>
        <v>63</v>
      </c>
      <c r="H305" s="1">
        <f t="shared" si="28"/>
        <v>0</v>
      </c>
      <c r="I305" s="1">
        <f t="shared" si="29"/>
        <v>63</v>
      </c>
    </row>
    <row r="306" spans="1:9" x14ac:dyDescent="0.25">
      <c r="A306" s="1" t="s">
        <v>19</v>
      </c>
      <c r="B306" s="1">
        <v>99</v>
      </c>
      <c r="C306" s="1">
        <v>813938701</v>
      </c>
      <c r="D306" s="1">
        <v>1018714000</v>
      </c>
      <c r="E306" s="1">
        <f t="shared" si="25"/>
        <v>-204775299</v>
      </c>
      <c r="F306" s="1">
        <f t="shared" si="26"/>
        <v>204775299</v>
      </c>
      <c r="G306" s="1">
        <f t="shared" si="27"/>
        <v>35</v>
      </c>
      <c r="H306" s="1">
        <f t="shared" si="28"/>
        <v>0</v>
      </c>
      <c r="I306" s="1">
        <f t="shared" si="29"/>
        <v>35</v>
      </c>
    </row>
    <row r="307" spans="1:9" x14ac:dyDescent="0.25">
      <c r="A307" s="1" t="s">
        <v>19</v>
      </c>
      <c r="B307" s="1">
        <v>100</v>
      </c>
      <c r="C307" s="1">
        <v>817822001</v>
      </c>
      <c r="D307" s="1">
        <v>1018535800</v>
      </c>
      <c r="E307" s="1">
        <f t="shared" si="25"/>
        <v>-200713799</v>
      </c>
      <c r="F307" s="1">
        <f t="shared" si="26"/>
        <v>200713799</v>
      </c>
      <c r="G307" s="1">
        <f t="shared" si="27"/>
        <v>23</v>
      </c>
      <c r="H307" s="1">
        <f t="shared" si="28"/>
        <v>0</v>
      </c>
      <c r="I307" s="1">
        <f t="shared" si="29"/>
        <v>23</v>
      </c>
    </row>
  </sheetData>
  <autoFilter ref="A1:I1"/>
  <mergeCells count="3">
    <mergeCell ref="N13:T17"/>
    <mergeCell ref="N116:T120"/>
    <mergeCell ref="N219:T2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Tabulação de Resultados</vt:lpstr>
      <vt:lpstr>Ordenação Crescente</vt:lpstr>
      <vt:lpstr>Ordenação Decrescente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2026-03-09T18:16:42Z</dcterms:modified>
</cp:coreProperties>
</file>